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Windows\Documents\MULIKAT'S IOTB\"/>
    </mc:Choice>
  </mc:AlternateContent>
  <xr:revisionPtr revIDLastSave="0" documentId="13_ncr:1_{42BC6ABE-7326-4F8F-BC38-D14E55856FBF}" xr6:coauthVersionLast="47" xr6:coauthVersionMax="47" xr10:uidLastSave="{00000000-0000-0000-0000-000000000000}"/>
  <bookViews>
    <workbookView xWindow="-108" yWindow="-108" windowWidth="23256" windowHeight="12456" activeTab="1" xr2:uid="{00000000-000D-0000-FFFF-FFFF00000000}"/>
  </bookViews>
  <sheets>
    <sheet name="Analysis" sheetId="7" r:id="rId1"/>
    <sheet name="Interactive Dashboard" sheetId="13" r:id="rId2"/>
    <sheet name="Raw_Employee_Data" sheetId="1" r:id="rId3"/>
    <sheet name="Lookup_Departments" sheetId="2" r:id="rId4"/>
    <sheet name="Lookup_Performance" sheetId="3" r:id="rId5"/>
    <sheet name="Dashboard_Pivots" sheetId="12" state="hidden" r:id="rId6"/>
  </sheets>
  <definedNames>
    <definedName name="NativeTimeline_Hire_Date">#N/A</definedName>
    <definedName name="Slicer_Dept_Code">#N/A</definedName>
    <definedName name="Slicer_Performance_Band">#N/A</definedName>
    <definedName name="Slicer_Years_Of_Service">#N/A</definedName>
  </definedNames>
  <calcPr calcId="181029"/>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2" i="1"/>
  <c r="J2" i="1" l="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L140" i="1" l="1"/>
  <c r="L108" i="1"/>
  <c r="L84" i="1"/>
  <c r="L68" i="1"/>
  <c r="L36" i="1"/>
  <c r="L145" i="1"/>
  <c r="L137" i="1"/>
  <c r="L129" i="1"/>
  <c r="L121" i="1"/>
  <c r="L113" i="1"/>
  <c r="L105" i="1"/>
  <c r="L97" i="1"/>
  <c r="L89" i="1"/>
  <c r="L81" i="1"/>
  <c r="L73" i="1"/>
  <c r="L65" i="1"/>
  <c r="L57" i="1"/>
  <c r="L49" i="1"/>
  <c r="L41" i="1"/>
  <c r="L33" i="1"/>
  <c r="L25" i="1"/>
  <c r="L17" i="1"/>
  <c r="L9" i="1"/>
  <c r="L128" i="1"/>
  <c r="L104" i="1"/>
  <c r="L80" i="1"/>
  <c r="L56" i="1"/>
  <c r="L32" i="1"/>
  <c r="L8" i="1"/>
  <c r="L151" i="1"/>
  <c r="L143" i="1"/>
  <c r="L135" i="1"/>
  <c r="L127" i="1"/>
  <c r="L119" i="1"/>
  <c r="L111" i="1"/>
  <c r="L103" i="1"/>
  <c r="L95" i="1"/>
  <c r="L87" i="1"/>
  <c r="L79" i="1"/>
  <c r="L71" i="1"/>
  <c r="L63" i="1"/>
  <c r="L55" i="1"/>
  <c r="L47" i="1"/>
  <c r="L39" i="1"/>
  <c r="L31" i="1"/>
  <c r="L23" i="1"/>
  <c r="L15" i="1"/>
  <c r="L7" i="1"/>
  <c r="L136" i="1"/>
  <c r="L112" i="1"/>
  <c r="L88" i="1"/>
  <c r="L64" i="1"/>
  <c r="L40" i="1"/>
  <c r="L16" i="1"/>
  <c r="L150" i="1"/>
  <c r="L142" i="1"/>
  <c r="L134" i="1"/>
  <c r="L126" i="1"/>
  <c r="L118" i="1"/>
  <c r="L110" i="1"/>
  <c r="L102" i="1"/>
  <c r="L94" i="1"/>
  <c r="L86" i="1"/>
  <c r="L78" i="1"/>
  <c r="L70" i="1"/>
  <c r="L62" i="1"/>
  <c r="L54" i="1"/>
  <c r="L46" i="1"/>
  <c r="L38" i="1"/>
  <c r="L30" i="1"/>
  <c r="L22" i="1"/>
  <c r="L14" i="1"/>
  <c r="L6" i="1"/>
  <c r="L144" i="1"/>
  <c r="L120" i="1"/>
  <c r="L96" i="1"/>
  <c r="L72" i="1"/>
  <c r="L48" i="1"/>
  <c r="L24" i="1"/>
  <c r="L149" i="1"/>
  <c r="L141" i="1"/>
  <c r="L133" i="1"/>
  <c r="L125" i="1"/>
  <c r="L117" i="1"/>
  <c r="L109" i="1"/>
  <c r="L101" i="1"/>
  <c r="L93" i="1"/>
  <c r="L85" i="1"/>
  <c r="L77" i="1"/>
  <c r="L69" i="1"/>
  <c r="L61" i="1"/>
  <c r="L53" i="1"/>
  <c r="L45" i="1"/>
  <c r="L37" i="1"/>
  <c r="L29" i="1"/>
  <c r="L21" i="1"/>
  <c r="L13" i="1"/>
  <c r="L5" i="1"/>
  <c r="L12" i="1"/>
  <c r="L4" i="1"/>
  <c r="L132" i="1"/>
  <c r="L116" i="1"/>
  <c r="L92" i="1"/>
  <c r="L60" i="1"/>
  <c r="L44" i="1"/>
  <c r="L28" i="1"/>
  <c r="L147" i="1"/>
  <c r="L139" i="1"/>
  <c r="L131" i="1"/>
  <c r="L123" i="1"/>
  <c r="L115" i="1"/>
  <c r="L107" i="1"/>
  <c r="L99" i="1"/>
  <c r="L91" i="1"/>
  <c r="L83" i="1"/>
  <c r="L75" i="1"/>
  <c r="L67" i="1"/>
  <c r="L59" i="1"/>
  <c r="L51" i="1"/>
  <c r="L43" i="1"/>
  <c r="L35" i="1"/>
  <c r="L27" i="1"/>
  <c r="L19" i="1"/>
  <c r="L11" i="1"/>
  <c r="L3" i="1"/>
  <c r="L148" i="1"/>
  <c r="L124" i="1"/>
  <c r="L100" i="1"/>
  <c r="L76" i="1"/>
  <c r="L52" i="1"/>
  <c r="L20" i="1"/>
  <c r="L146" i="1"/>
  <c r="L138" i="1"/>
  <c r="L130" i="1"/>
  <c r="L122" i="1"/>
  <c r="L114" i="1"/>
  <c r="L106" i="1"/>
  <c r="L98" i="1"/>
  <c r="L90" i="1"/>
  <c r="L82" i="1"/>
  <c r="L74" i="1"/>
  <c r="L66" i="1"/>
  <c r="L58" i="1"/>
  <c r="L50" i="1"/>
  <c r="L42" i="1"/>
  <c r="L34" i="1"/>
  <c r="L26" i="1"/>
  <c r="L18" i="1"/>
  <c r="L10" i="1"/>
  <c r="K2" i="1"/>
  <c r="L2" i="1" l="1"/>
</calcChain>
</file>

<file path=xl/sharedStrings.xml><?xml version="1.0" encoding="utf-8"?>
<sst xmlns="http://schemas.openxmlformats.org/spreadsheetml/2006/main" count="721" uniqueCount="320">
  <si>
    <t>Emp ID</t>
  </si>
  <si>
    <t>Dept Code</t>
  </si>
  <si>
    <t>Hire Date</t>
  </si>
  <si>
    <t>Salary</t>
  </si>
  <si>
    <t>Perf_Score</t>
  </si>
  <si>
    <t>EMP127</t>
  </si>
  <si>
    <t>Brown</t>
  </si>
  <si>
    <t>IT02</t>
  </si>
  <si>
    <t>EMP046</t>
  </si>
  <si>
    <t>MKT04</t>
  </si>
  <si>
    <t>EMP134</t>
  </si>
  <si>
    <t>EMP139</t>
  </si>
  <si>
    <t>FIN03</t>
  </si>
  <si>
    <t>EMP112</t>
  </si>
  <si>
    <t>Smith</t>
  </si>
  <si>
    <t>Left</t>
  </si>
  <si>
    <t>EMP030</t>
  </si>
  <si>
    <t>OPS06</t>
  </si>
  <si>
    <t>EMP096</t>
  </si>
  <si>
    <t>EMP098</t>
  </si>
  <si>
    <t>EMP095</t>
  </si>
  <si>
    <t>Rodriguez</t>
  </si>
  <si>
    <t>EMP140</t>
  </si>
  <si>
    <t>SAL05</t>
  </si>
  <si>
    <t>Active</t>
  </si>
  <si>
    <t>EMP020</t>
  </si>
  <si>
    <t>EMP057</t>
  </si>
  <si>
    <t>EMP016</t>
  </si>
  <si>
    <t>Williams</t>
  </si>
  <si>
    <t>EMP070</t>
  </si>
  <si>
    <t>EMP025</t>
  </si>
  <si>
    <t>Jones</t>
  </si>
  <si>
    <t>EMP031</t>
  </si>
  <si>
    <t>EMP126</t>
  </si>
  <si>
    <t>EMP109</t>
  </si>
  <si>
    <t>EMP066</t>
  </si>
  <si>
    <t>EMP120</t>
  </si>
  <si>
    <t>EMP019</t>
  </si>
  <si>
    <t>EMP013</t>
  </si>
  <si>
    <t>EMP010</t>
  </si>
  <si>
    <t>EMP032</t>
  </si>
  <si>
    <t>EMP082</t>
  </si>
  <si>
    <t>EMP052</t>
  </si>
  <si>
    <t>EMP129</t>
  </si>
  <si>
    <t>EMP146</t>
  </si>
  <si>
    <t>EMP099</t>
  </si>
  <si>
    <t>EMP015</t>
  </si>
  <si>
    <t>EMP076</t>
  </si>
  <si>
    <t>EMP137</t>
  </si>
  <si>
    <t>EMP056</t>
  </si>
  <si>
    <t>EMP125</t>
  </si>
  <si>
    <t>HR01</t>
  </si>
  <si>
    <t>EMP085</t>
  </si>
  <si>
    <t>EMP106</t>
  </si>
  <si>
    <t>EMP043</t>
  </si>
  <si>
    <t>EMP068</t>
  </si>
  <si>
    <t>EMP128</t>
  </si>
  <si>
    <t>EMP027</t>
  </si>
  <si>
    <t>EMP136</t>
  </si>
  <si>
    <t>EMP079</t>
  </si>
  <si>
    <t>EMP149</t>
  </si>
  <si>
    <t>Resigned</t>
  </si>
  <si>
    <t>EMP037</t>
  </si>
  <si>
    <t>EMP077</t>
  </si>
  <si>
    <t>EMP023</t>
  </si>
  <si>
    <t>EMP133</t>
  </si>
  <si>
    <t>EMP141</t>
  </si>
  <si>
    <t>EMP012</t>
  </si>
  <si>
    <t>EMP080</t>
  </si>
  <si>
    <t>EMP069</t>
  </si>
  <si>
    <t>EMP150</t>
  </si>
  <si>
    <t>EMP028</t>
  </si>
  <si>
    <t>EMP087</t>
  </si>
  <si>
    <t>EMP119</t>
  </si>
  <si>
    <t>EMP042</t>
  </si>
  <si>
    <t>EMP005</t>
  </si>
  <si>
    <t>EMP033</t>
  </si>
  <si>
    <t>EMP061</t>
  </si>
  <si>
    <t>EMP102</t>
  </si>
  <si>
    <t>EMP067</t>
  </si>
  <si>
    <t>EMP017</t>
  </si>
  <si>
    <t>EMP123</t>
  </si>
  <si>
    <t>EMP011</t>
  </si>
  <si>
    <t>EMP091</t>
  </si>
  <si>
    <t>EMP145</t>
  </si>
  <si>
    <t>EMP001</t>
  </si>
  <si>
    <t>EMP113</t>
  </si>
  <si>
    <t>EMP065</t>
  </si>
  <si>
    <t>EMP045</t>
  </si>
  <si>
    <t>EMP083</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</si>
  <si>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</si>
  <si>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</si>
  <si>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</si>
  <si>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</si>
  <si>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</si>
  <si>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</si>
  <si>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</si>
  <si>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</si>
  <si>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</si>
  <si>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</si>
  <si>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</si>
  <si>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</si>
  <si>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</si>
  <si>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</si>
  <si>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</si>
  <si>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</si>
  <si>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</si>
  <si>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</si>
  <si>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</si>
  <si>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</si>
  <si>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</si>
  <si>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</si>
  <si>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</si>
  <si>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</si>
  <si>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</si>
  <si>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</si>
  <si>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</si>
  <si>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</si>
  <si>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</si>
  <si>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</si>
  <si>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</si>
  <si>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</si>
  <si>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</si>
  <si>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</si>
  <si>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</si>
  <si>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</si>
  <si>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</si>
  <si>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</si>
  <si>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</si>
  <si>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</si>
  <si>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</si>
  <si>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</si>
  <si>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</si>
  <si>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</si>
  <si>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</si>
  <si>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</si>
  <si>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</si>
  <si>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</si>
  <si>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</si>
  <si>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</si>
  <si>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</si>
  <si>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</si>
  <si>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</si>
  <si>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</si>
  <si>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</si>
  <si>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</si>
  <si>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</si>
  <si>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</si>
  <si>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</si>
  <si>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</si>
  <si>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</si>
  <si>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</si>
  <si>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</si>
  <si>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</si>
  <si>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</si>
  <si>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</si>
  <si>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</si>
  <si>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</si>
  <si>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</si>
  <si>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</si>
  <si>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</si>
  <si>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</si>
  <si>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</si>
  <si>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</si>
  <si>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</si>
  <si>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</si>
  <si>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</si>
  <si>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</si>
  <si>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</si>
  <si>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</si>
  <si>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</si>
  <si>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</si>
  <si>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</si>
  <si>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</si>
  <si>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</si>
  <si>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</si>
  <si>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</si>
  <si>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</si>
  <si>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</si>
  <si>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</si>
  <si>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</si>
  <si>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</si>
  <si>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</si>
  <si>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</si>
  <si>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</si>
  <si>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</si>
  <si>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Employment Status2</t>
  </si>
  <si>
    <t>Emily Brown</t>
  </si>
  <si>
    <t>Richard Hernandez</t>
  </si>
  <si>
    <t>Emily Gonzalez</t>
  </si>
  <si>
    <t>John Martinez</t>
  </si>
  <si>
    <t>Thomas Smith</t>
  </si>
  <si>
    <t>Emily Johnson</t>
  </si>
  <si>
    <t>John Wilson</t>
  </si>
  <si>
    <t>Jessica Smith</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</si>
  <si>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</si>
  <si>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</si>
  <si>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</si>
  <si>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</si>
  <si>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</si>
  <si>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</si>
  <si>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</si>
  <si>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</si>
  <si>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</si>
  <si>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</si>
  <si>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</si>
  <si>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</si>
  <si>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</si>
  <si>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</si>
  <si>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</si>
  <si>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Michael Wilson</t>
  </si>
  <si>
    <t>John Rodriguez</t>
  </si>
  <si>
    <t>Thomas Hernandez</t>
  </si>
  <si>
    <t>Michael Johnson</t>
  </si>
  <si>
    <t>Sarah Brown</t>
  </si>
  <si>
    <t>Jane Martinez</t>
  </si>
  <si>
    <t>Emily Jones</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</si>
  <si>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</si>
  <si>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</si>
  <si>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</si>
  <si>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</si>
  <si>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</si>
  <si>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</si>
  <si>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</si>
  <si>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</si>
  <si>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</si>
  <si>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</si>
  <si>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</si>
  <si>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</si>
  <si>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</si>
  <si>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</si>
  <si>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</si>
  <si>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</si>
  <si>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</si>
  <si>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</si>
  <si>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</si>
  <si>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</si>
  <si>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</si>
  <si>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</si>
  <si>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</si>
  <si>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</si>
  <si>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</si>
  <si>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</si>
  <si>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</si>
  <si>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</si>
  <si>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</si>
  <si>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</si>
  <si>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</si>
  <si>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</si>
  <si>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</si>
  <si>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</si>
  <si>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</si>
  <si>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</si>
  <si>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</si>
  <si>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</si>
  <si>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</si>
  <si>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</si>
  <si>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</si>
  <si>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</si>
  <si>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</si>
  <si>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</si>
  <si>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</si>
  <si>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</si>
  <si>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</si>
  <si>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</si>
  <si>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</si>
  <si>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</si>
  <si>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</si>
  <si>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</si>
  <si>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</si>
  <si>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</si>
  <si>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</si>
  <si>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</si>
  <si>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</si>
  <si>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</si>
  <si>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</si>
  <si>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</si>
  <si>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</si>
  <si>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</si>
  <si>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</si>
  <si>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</si>
  <si>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</si>
  <si>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</si>
  <si>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</si>
  <si>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</si>
  <si>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</si>
  <si>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</si>
  <si>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</si>
  <si>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William Rodriguez</t>
  </si>
  <si>
    <t>Melissa Miller</t>
  </si>
  <si>
    <t>Emily Martinez</t>
  </si>
  <si>
    <t>Name</t>
  </si>
  <si>
    <t>Department Name</t>
  </si>
  <si>
    <t>Performance Band</t>
  </si>
  <si>
    <t>Bonus Percent</t>
  </si>
  <si>
    <t>Average of Salary</t>
  </si>
  <si>
    <t>Column Labels</t>
  </si>
  <si>
    <t>Grand Total</t>
  </si>
  <si>
    <t>Headcount and Salary Per Department</t>
  </si>
  <si>
    <t>Years Of Service</t>
  </si>
  <si>
    <t>Departmen Name</t>
  </si>
  <si>
    <t>Attrition Rate by Department</t>
  </si>
  <si>
    <t>Attrition %</t>
  </si>
  <si>
    <t>Performance by Status</t>
  </si>
  <si>
    <t>Average of Perf_Score</t>
  </si>
  <si>
    <t>Performance</t>
  </si>
  <si>
    <t>Department</t>
  </si>
  <si>
    <t>Bonus Payout</t>
  </si>
  <si>
    <t>Total Employees</t>
  </si>
  <si>
    <t>Average Salary</t>
  </si>
  <si>
    <t>Row Labels</t>
  </si>
  <si>
    <t>Count of Emp ID</t>
  </si>
  <si>
    <t>Employees</t>
  </si>
  <si>
    <t>Avg Salary</t>
  </si>
  <si>
    <t>Avg Years Service</t>
  </si>
  <si>
    <t>Total Bonus Payout</t>
  </si>
  <si>
    <t>Bonus Payout by Performance Band</t>
  </si>
  <si>
    <t>Sum of Bonus Payout</t>
  </si>
  <si>
    <t>Total Bonus Payout by Performance Band</t>
  </si>
  <si>
    <t>Total Headcounts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</si>
</sst>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0"/>
    <numFmt numFmtId="165" formatCode="yyyy\-mm\-dd;@"/>
    <numFmt numFmtId="166" formatCode="[$$-409]#,##0;[Red][$$-409]#,##0"/>
    <numFmt numFmtId="167" formatCode="[$$-409]#,##0.00;[Red][$$-409]#,##0.00"/>
    <numFmt numFmtId="168" formatCode="\$#,##0"/>
    <numFmt numFmtId="169" formatCode="0.0"/>
    <numFmt numFmtId="170" formatCode="[$$-409]#,##0.00"/>
  </numFmts>
  <fonts count="6" x14ac:knownFonts="1">
    <font>
      <sz val="11"/>
      <color theme="1"/>
      <name val="Calibri"/>
      <family val="2"/>
      <scheme val="minor"/>
    </font>
    <font>
      <b/>
      <sz val="11"/>
      <name val="Calibri"/>
      <family val="2"/>
    </font>
    <font>
      <sz val="11"/>
      <color theme="1"/>
      <name val="Calibri"/>
      <family val="2"/>
      <scheme val="minor"/>
    </font>
    <font>
      <sz val="11"/>
      <color rgb="FFFF0000"/>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theme="0"/>
      </left>
      <right style="thin">
        <color theme="0"/>
      </right>
      <top style="thin">
        <color theme="0"/>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1" fillId="0" borderId="1" xfId="0" applyFont="1" applyBorder="1" applyAlignment="1">
      <alignment horizontal="center" vertical="top"/>
    </xf>
    <xf numFmtId="0" fontId="0" fillId="2" borderId="2" xfId="0" applyFont="1" applyFill="1" applyBorder="1"/>
    <xf numFmtId="0" fontId="0" fillId="3" borderId="2" xfId="0" applyFont="1" applyFill="1" applyBorder="1"/>
    <xf numFmtId="0" fontId="1" fillId="0" borderId="3" xfId="0" applyFont="1" applyBorder="1" applyAlignment="1">
      <alignment horizontal="center" vertical="top"/>
    </xf>
    <xf numFmtId="0" fontId="0" fillId="3" borderId="4" xfId="0" applyFont="1" applyFill="1" applyBorder="1"/>
    <xf numFmtId="2" fontId="0" fillId="0" borderId="0" xfId="0" applyNumberFormat="1"/>
    <xf numFmtId="1" fontId="0" fillId="0" borderId="0" xfId="0" applyNumberFormat="1"/>
    <xf numFmtId="164" fontId="0" fillId="0" borderId="0" xfId="0" applyNumberFormat="1" applyAlignment="1">
      <alignment horizontal="right"/>
    </xf>
    <xf numFmtId="165" fontId="0" fillId="0" borderId="0" xfId="0" applyNumberFormat="1"/>
    <xf numFmtId="14" fontId="0" fillId="0" borderId="0" xfId="0" applyNumberFormat="1" applyAlignment="1">
      <alignment horizontal="right"/>
    </xf>
    <xf numFmtId="14" fontId="0" fillId="0" borderId="0" xfId="0" applyNumberFormat="1"/>
    <xf numFmtId="166" fontId="0" fillId="0" borderId="0" xfId="0" applyNumberFormat="1" applyAlignment="1">
      <alignment horizontal="right"/>
    </xf>
    <xf numFmtId="167" fontId="0" fillId="0" borderId="0" xfId="0" applyNumberFormat="1"/>
    <xf numFmtId="166" fontId="1" fillId="0" borderId="3" xfId="0" applyNumberFormat="1" applyFont="1" applyBorder="1" applyAlignment="1">
      <alignment horizontal="right" vertical="top"/>
    </xf>
    <xf numFmtId="167" fontId="1" fillId="0" borderId="3" xfId="0" applyNumberFormat="1"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9" fontId="1" fillId="0" borderId="3" xfId="1" applyFont="1" applyBorder="1" applyAlignment="1">
      <alignment horizontal="center" vertical="top"/>
    </xf>
    <xf numFmtId="10" fontId="0" fillId="0" borderId="0" xfId="0" applyNumberFormat="1"/>
    <xf numFmtId="0" fontId="3" fillId="0" borderId="0" xfId="0" applyFont="1" applyFill="1"/>
    <xf numFmtId="9" fontId="0" fillId="0" borderId="0" xfId="1" applyFont="1"/>
    <xf numFmtId="3" fontId="0" fillId="0" borderId="0" xfId="0" applyNumberFormat="1"/>
    <xf numFmtId="168" fontId="0" fillId="0" borderId="0" xfId="0" applyNumberFormat="1"/>
    <xf numFmtId="169" fontId="0" fillId="0" borderId="0" xfId="0" applyNumberFormat="1"/>
    <xf numFmtId="0" fontId="0" fillId="0" borderId="0" xfId="0"/>
    <xf numFmtId="0" fontId="0" fillId="0" borderId="0" xfId="0"/>
    <xf numFmtId="0" fontId="3" fillId="0" borderId="0" xfId="0" applyFont="1"/>
    <xf numFmtId="170" fontId="0" fillId="0" borderId="0" xfId="0" applyNumberFormat="1"/>
    <xf numFmtId="0" fontId="5" fillId="0" borderId="0" xfId="0" applyFont="1"/>
    <xf numFmtId="0" fontId="0" fillId="0" borderId="0" xfId="0"/>
  </cellXfs>
  <cellStyles count="2">
    <cellStyle name="Normal" xfId="0" builtinId="0"/>
    <cellStyle name="Per cent" xfId="1" builtinId="5"/>
  </cellStyles>
  <dxfs count="19">
    <dxf>
      <numFmt numFmtId="167" formatCode="[$$-409]#,##0.00;[Red][$$-409]#,##0.00"/>
    </dxf>
    <dxf>
      <numFmt numFmtId="0" formatCode="General"/>
    </dxf>
    <dxf>
      <numFmt numFmtId="1" formatCode="0"/>
    </dxf>
    <dxf>
      <numFmt numFmtId="0" formatCode="General"/>
    </dxf>
    <dxf>
      <numFmt numFmtId="166" formatCode="[$$-409]#,##0;[Red][$$-409]#,##0"/>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0" formatCode="General"/>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s>
  <tableStyles count="0" defaultTableStyle="TableStyleMedium9" defaultPivotStyle="PivotStyleLight16"/>
  <colors>
    <mruColors>
      <color rgb="FF9FB3CB"/>
      <color rgb="FF699B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Rate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33814523184596E-2"/>
          <c:y val="7.407407407407407E-2"/>
          <c:w val="0.74863648293963259"/>
          <c:h val="0.79081802274715662"/>
        </c:manualLayout>
      </c:layout>
      <c:barChart>
        <c:barDir val="col"/>
        <c:grouping val="percentStacked"/>
        <c:varyColors val="0"/>
        <c:ser>
          <c:idx val="0"/>
          <c:order val="0"/>
          <c:tx>
            <c:strRef>
              <c:f>Analysis!$G$3:$G$4</c:f>
              <c:strCache>
                <c:ptCount val="1"/>
                <c:pt idx="0">
                  <c:v>Active</c:v>
                </c:pt>
              </c:strCache>
            </c:strRef>
          </c:tx>
          <c:spPr>
            <a:solidFill>
              <a:schemeClr val="accent1"/>
            </a:solidFill>
            <a:ln>
              <a:noFill/>
            </a:ln>
            <a:effectLst/>
          </c:spPr>
          <c:invertIfNegative val="0"/>
          <c:cat>
            <c:strRef>
              <c:f>Analysis!$F$5:$F$11</c:f>
              <c:strCache>
                <c:ptCount val="6"/>
                <c:pt idx="0">
                  <c:v>Finance</c:v>
                </c:pt>
                <c:pt idx="1">
                  <c:v>Human Resources</c:v>
                </c:pt>
                <c:pt idx="2">
                  <c:v>Information Technology</c:v>
                </c:pt>
                <c:pt idx="3">
                  <c:v>Marketing</c:v>
                </c:pt>
                <c:pt idx="4">
                  <c:v>Operations</c:v>
                </c:pt>
                <c:pt idx="5">
                  <c:v>Sales</c:v>
                </c:pt>
              </c:strCache>
            </c:strRef>
          </c:cat>
          <c:val>
            <c:numRef>
              <c:f>Analysis!$G$5:$G$11</c:f>
              <c:numCache>
                <c:formatCode>0.00%</c:formatCode>
                <c:ptCount val="6"/>
                <c:pt idx="0">
                  <c:v>0.82352941176470584</c:v>
                </c:pt>
                <c:pt idx="1">
                  <c:v>0.88235294117647056</c:v>
                </c:pt>
                <c:pt idx="2">
                  <c:v>0.82352941176470584</c:v>
                </c:pt>
                <c:pt idx="3">
                  <c:v>0.84210526315789469</c:v>
                </c:pt>
                <c:pt idx="4">
                  <c:v>0.75</c:v>
                </c:pt>
                <c:pt idx="5">
                  <c:v>0.86206896551724133</c:v>
                </c:pt>
              </c:numCache>
            </c:numRef>
          </c:val>
          <c:extLst>
            <c:ext xmlns:c16="http://schemas.microsoft.com/office/drawing/2014/chart" uri="{C3380CC4-5D6E-409C-BE32-E72D297353CC}">
              <c16:uniqueId val="{00000000-52CB-4C0A-B97C-616533049323}"/>
            </c:ext>
          </c:extLst>
        </c:ser>
        <c:ser>
          <c:idx val="1"/>
          <c:order val="1"/>
          <c:tx>
            <c:strRef>
              <c:f>Analysis!$H$3:$H$4</c:f>
              <c:strCache>
                <c:ptCount val="1"/>
                <c:pt idx="0">
                  <c:v>Left</c:v>
                </c:pt>
              </c:strCache>
            </c:strRef>
          </c:tx>
          <c:spPr>
            <a:solidFill>
              <a:schemeClr val="accent2"/>
            </a:solidFill>
            <a:ln>
              <a:noFill/>
            </a:ln>
            <a:effectLst/>
          </c:spPr>
          <c:invertIfNegative val="0"/>
          <c:cat>
            <c:strRef>
              <c:f>Analysis!$F$5:$F$11</c:f>
              <c:strCache>
                <c:ptCount val="6"/>
                <c:pt idx="0">
                  <c:v>Finance</c:v>
                </c:pt>
                <c:pt idx="1">
                  <c:v>Human Resources</c:v>
                </c:pt>
                <c:pt idx="2">
                  <c:v>Information Technology</c:v>
                </c:pt>
                <c:pt idx="3">
                  <c:v>Marketing</c:v>
                </c:pt>
                <c:pt idx="4">
                  <c:v>Operations</c:v>
                </c:pt>
                <c:pt idx="5">
                  <c:v>Sales</c:v>
                </c:pt>
              </c:strCache>
            </c:strRef>
          </c:cat>
          <c:val>
            <c:numRef>
              <c:f>Analysis!$H$5:$H$11</c:f>
              <c:numCache>
                <c:formatCode>0.00%</c:formatCode>
                <c:ptCount val="6"/>
                <c:pt idx="0">
                  <c:v>0.17647058823529413</c:v>
                </c:pt>
                <c:pt idx="1">
                  <c:v>0.11764705882352941</c:v>
                </c:pt>
                <c:pt idx="2">
                  <c:v>0.17647058823529413</c:v>
                </c:pt>
                <c:pt idx="3">
                  <c:v>0.15789473684210525</c:v>
                </c:pt>
                <c:pt idx="4">
                  <c:v>0.25</c:v>
                </c:pt>
                <c:pt idx="5">
                  <c:v>0.13793103448275862</c:v>
                </c:pt>
              </c:numCache>
            </c:numRef>
          </c:val>
          <c:extLst>
            <c:ext xmlns:c16="http://schemas.microsoft.com/office/drawing/2014/chart" uri="{C3380CC4-5D6E-409C-BE32-E72D297353CC}">
              <c16:uniqueId val="{00000004-B7F5-4205-B34A-BDCAACE513A0}"/>
            </c:ext>
          </c:extLst>
        </c:ser>
        <c:dLbls>
          <c:showLegendKey val="0"/>
          <c:showVal val="0"/>
          <c:showCatName val="0"/>
          <c:showSerName val="0"/>
          <c:showPercent val="0"/>
          <c:showBubbleSize val="0"/>
        </c:dLbls>
        <c:gapWidth val="150"/>
        <c:overlap val="100"/>
        <c:axId val="2116735631"/>
        <c:axId val="2116736047"/>
      </c:barChart>
      <c:catAx>
        <c:axId val="211673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36047"/>
        <c:crosses val="autoZero"/>
        <c:auto val="1"/>
        <c:lblAlgn val="ctr"/>
        <c:lblOffset val="100"/>
        <c:noMultiLvlLbl val="0"/>
      </c:catAx>
      <c:valAx>
        <c:axId val="21167360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3DEFFA1-5059-4810-8B3D-339C84AA7A6D}" type="VALUE">
                  <a:rPr lang="en-US"/>
                  <a:pPr>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842B5FE-A540-45C3-9875-A1D6271266FE}" type="VALUE">
                  <a:rPr lang="en-US" baseline="0"/>
                  <a:pPr>
                    <a:defRPr/>
                  </a:pPr>
                  <a:t>[VALUE]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018243067383501"/>
          <c:y val="0.10132934333060903"/>
          <c:w val="0.4540987887624276"/>
          <c:h val="0.75572621910328774"/>
        </c:manualLayout>
      </c:layout>
      <c:pieChart>
        <c:varyColors val="1"/>
        <c:ser>
          <c:idx val="0"/>
          <c:order val="0"/>
          <c:tx>
            <c:strRef>
              <c:f>Analysis!$N$3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C0-4F2D-9162-84760BE56B8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C0-4F2D-9162-84760BE56B8D}"/>
              </c:ext>
            </c:extLst>
          </c:dPt>
          <c:dLbls>
            <c:dLbl>
              <c:idx val="0"/>
              <c:tx>
                <c:rich>
                  <a:bodyPr/>
                  <a:lstStyle/>
                  <a:p>
                    <a:fld id="{73DEFFA1-5059-4810-8B3D-339C84AA7A6D}" type="VALUE">
                      <a:rPr lang="en-US"/>
                      <a:pPr/>
                      <a:t>[VALUE]</a:t>
                    </a:fld>
                    <a:r>
                      <a:rPr lang="en-US" baseline="0"/>
                      <a:t> </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2C0-4F2D-9162-84760BE56B8D}"/>
                </c:ext>
              </c:extLst>
            </c:dLbl>
            <c:dLbl>
              <c:idx val="1"/>
              <c:tx>
                <c:rich>
                  <a:bodyPr/>
                  <a:lstStyle/>
                  <a:p>
                    <a:r>
                      <a:rPr lang="en-US" baseline="0"/>
                      <a:t> </a:t>
                    </a:r>
                    <a:fld id="{7842B5FE-A540-45C3-9875-A1D6271266FE}" type="VALUE">
                      <a:rPr lang="en-US" baseline="0"/>
                      <a:pPr/>
                      <a:t>[VALUE]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2C0-4F2D-9162-84760BE56B8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Analysis!$M$4:$M$6</c:f>
              <c:strCache>
                <c:ptCount val="2"/>
                <c:pt idx="0">
                  <c:v>Active</c:v>
                </c:pt>
                <c:pt idx="1">
                  <c:v>Left</c:v>
                </c:pt>
              </c:strCache>
            </c:strRef>
          </c:cat>
          <c:val>
            <c:numRef>
              <c:f>Analysis!$N$4:$N$6</c:f>
              <c:numCache>
                <c:formatCode>0.00</c:formatCode>
                <c:ptCount val="2"/>
                <c:pt idx="0">
                  <c:v>67.741379310344826</c:v>
                </c:pt>
                <c:pt idx="1">
                  <c:v>66.208333333333329</c:v>
                </c:pt>
              </c:numCache>
            </c:numRef>
          </c:val>
          <c:extLst>
            <c:ext xmlns:c16="http://schemas.microsoft.com/office/drawing/2014/chart" uri="{C3380CC4-5D6E-409C-BE32-E72D297353CC}">
              <c16:uniqueId val="{00000000-D115-4208-9578-7ABBA5D822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Bonus Payout by Performance Band</a:t>
            </a:r>
          </a:p>
        </c:rich>
      </c:tx>
      <c:layout>
        <c:manualLayout>
          <c:xMode val="edge"/>
          <c:yMode val="edge"/>
          <c:x val="0.18861111111111115"/>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Analysis!$S$3</c:f>
              <c:strCache>
                <c:ptCount val="1"/>
                <c:pt idx="0">
                  <c:v>Total</c:v>
                </c:pt>
              </c:strCache>
            </c:strRef>
          </c:tx>
          <c:spPr>
            <a:solidFill>
              <a:schemeClr val="accent1"/>
            </a:solidFill>
            <a:ln>
              <a:noFill/>
            </a:ln>
            <a:effectLst/>
          </c:spPr>
          <c:invertIfNegative val="0"/>
          <c:cat>
            <c:strRef>
              <c:f>Analysis!$R$4:$R$9</c:f>
              <c:strCache>
                <c:ptCount val="5"/>
                <c:pt idx="0">
                  <c:v>Achieving</c:v>
                </c:pt>
                <c:pt idx="1">
                  <c:v>Developing</c:v>
                </c:pt>
                <c:pt idx="2">
                  <c:v>Exceeding</c:v>
                </c:pt>
                <c:pt idx="3">
                  <c:v>Needs Improvement</c:v>
                </c:pt>
                <c:pt idx="4">
                  <c:v>Outstanding</c:v>
                </c:pt>
              </c:strCache>
            </c:strRef>
          </c:cat>
          <c:val>
            <c:numRef>
              <c:f>Analysis!$S$4:$S$9</c:f>
              <c:numCache>
                <c:formatCode>[$$-409]#,##0.00</c:formatCode>
                <c:ptCount val="5"/>
                <c:pt idx="0">
                  <c:v>164994.30714285717</c:v>
                </c:pt>
                <c:pt idx="1">
                  <c:v>84450.788571428595</c:v>
                </c:pt>
                <c:pt idx="2">
                  <c:v>144546.9485714286</c:v>
                </c:pt>
                <c:pt idx="3">
                  <c:v>0</c:v>
                </c:pt>
                <c:pt idx="4">
                  <c:v>92304.651428571437</c:v>
                </c:pt>
              </c:numCache>
            </c:numRef>
          </c:val>
          <c:extLst>
            <c:ext xmlns:c16="http://schemas.microsoft.com/office/drawing/2014/chart" uri="{C3380CC4-5D6E-409C-BE32-E72D297353CC}">
              <c16:uniqueId val="{00000000-F47A-4770-8075-3184C2FE4A6B}"/>
            </c:ext>
          </c:extLst>
        </c:ser>
        <c:dLbls>
          <c:showLegendKey val="0"/>
          <c:showVal val="0"/>
          <c:showCatName val="0"/>
          <c:showSerName val="0"/>
          <c:showPercent val="0"/>
          <c:showBubbleSize val="0"/>
        </c:dLbls>
        <c:gapWidth val="182"/>
        <c:axId val="240962704"/>
        <c:axId val="240964784"/>
      </c:barChart>
      <c:catAx>
        <c:axId val="24096270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64784"/>
        <c:crosses val="autoZero"/>
        <c:auto val="1"/>
        <c:lblAlgn val="ctr"/>
        <c:lblOffset val="100"/>
        <c:noMultiLvlLbl val="0"/>
      </c:catAx>
      <c:valAx>
        <c:axId val="2409647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6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JIBULU}.xlsx]Analysis!PivotTable2</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35870516185477"/>
          <c:y val="2.5428331875182269E-2"/>
          <c:w val="0.62763604549431318"/>
          <c:h val="0.56942111402741324"/>
        </c:manualLayout>
      </c:layout>
      <c:bar3DChart>
        <c:barDir val="col"/>
        <c:grouping val="stacked"/>
        <c:varyColors val="0"/>
        <c:ser>
          <c:idx val="0"/>
          <c:order val="0"/>
          <c:tx>
            <c:strRef>
              <c:f>Analysis!$B$3</c:f>
              <c:strCache>
                <c:ptCount val="1"/>
                <c:pt idx="0">
                  <c:v>Total Headcounts</c:v>
                </c:pt>
              </c:strCache>
            </c:strRef>
          </c:tx>
          <c:spPr>
            <a:solidFill>
              <a:schemeClr val="accent1"/>
            </a:solidFill>
            <a:ln>
              <a:noFill/>
            </a:ln>
            <a:effectLst/>
            <a:sp3d/>
          </c:spPr>
          <c:invertIfNegative val="0"/>
          <c:cat>
            <c:strRef>
              <c:f>Analysis!$A$4:$A$10</c:f>
              <c:strCache>
                <c:ptCount val="6"/>
                <c:pt idx="0">
                  <c:v>Finance</c:v>
                </c:pt>
                <c:pt idx="1">
                  <c:v>Human Resources</c:v>
                </c:pt>
                <c:pt idx="2">
                  <c:v>Information Technology</c:v>
                </c:pt>
                <c:pt idx="3">
                  <c:v>Marketing</c:v>
                </c:pt>
                <c:pt idx="4">
                  <c:v>Operations</c:v>
                </c:pt>
                <c:pt idx="5">
                  <c:v>Sales</c:v>
                </c:pt>
              </c:strCache>
            </c:strRef>
          </c:cat>
          <c:val>
            <c:numRef>
              <c:f>Analysis!$B$4:$B$10</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D37E-41EB-824B-5D54B679D876}"/>
            </c:ext>
          </c:extLst>
        </c:ser>
        <c:ser>
          <c:idx val="1"/>
          <c:order val="1"/>
          <c:tx>
            <c:strRef>
              <c:f>Analysis!$C$3</c:f>
              <c:strCache>
                <c:ptCount val="1"/>
                <c:pt idx="0">
                  <c:v>Average of Salary</c:v>
                </c:pt>
              </c:strCache>
            </c:strRef>
          </c:tx>
          <c:spPr>
            <a:solidFill>
              <a:schemeClr val="accent2"/>
            </a:solidFill>
            <a:ln>
              <a:noFill/>
            </a:ln>
            <a:effectLst/>
            <a:sp3d/>
          </c:spPr>
          <c:invertIfNegative val="0"/>
          <c:cat>
            <c:strRef>
              <c:f>Analysis!$A$4:$A$10</c:f>
              <c:strCache>
                <c:ptCount val="6"/>
                <c:pt idx="0">
                  <c:v>Finance</c:v>
                </c:pt>
                <c:pt idx="1">
                  <c:v>Human Resources</c:v>
                </c:pt>
                <c:pt idx="2">
                  <c:v>Information Technology</c:v>
                </c:pt>
                <c:pt idx="3">
                  <c:v>Marketing</c:v>
                </c:pt>
                <c:pt idx="4">
                  <c:v>Operations</c:v>
                </c:pt>
                <c:pt idx="5">
                  <c:v>Sales</c:v>
                </c:pt>
              </c:strCache>
            </c:strRef>
          </c:cat>
          <c:val>
            <c:numRef>
              <c:f>Analysis!$C$4:$C$10</c:f>
              <c:numCache>
                <c:formatCode>0</c:formatCode>
                <c:ptCount val="6"/>
                <c:pt idx="0">
                  <c:v>87016.42857142858</c:v>
                </c:pt>
                <c:pt idx="1">
                  <c:v>85486.801587301597</c:v>
                </c:pt>
                <c:pt idx="2">
                  <c:v>80389.14285714287</c:v>
                </c:pt>
                <c:pt idx="3">
                  <c:v>85361.075187969924</c:v>
                </c:pt>
                <c:pt idx="4">
                  <c:v>79988.512315270942</c:v>
                </c:pt>
                <c:pt idx="5">
                  <c:v>86103.271889400945</c:v>
                </c:pt>
              </c:numCache>
            </c:numRef>
          </c:val>
          <c:extLst>
            <c:ext xmlns:c16="http://schemas.microsoft.com/office/drawing/2014/chart" uri="{C3380CC4-5D6E-409C-BE32-E72D297353CC}">
              <c16:uniqueId val="{00000001-D37E-41EB-824B-5D54B679D876}"/>
            </c:ext>
          </c:extLst>
        </c:ser>
        <c:dLbls>
          <c:showLegendKey val="0"/>
          <c:showVal val="0"/>
          <c:showCatName val="0"/>
          <c:showSerName val="0"/>
          <c:showPercent val="0"/>
          <c:showBubbleSize val="0"/>
        </c:dLbls>
        <c:gapWidth val="150"/>
        <c:shape val="box"/>
        <c:axId val="2014298447"/>
        <c:axId val="2014300111"/>
        <c:axId val="0"/>
      </c:bar3DChart>
      <c:catAx>
        <c:axId val="2014298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300111"/>
        <c:crosses val="autoZero"/>
        <c:auto val="1"/>
        <c:lblAlgn val="ctr"/>
        <c:lblOffset val="100"/>
        <c:noMultiLvlLbl val="0"/>
      </c:catAx>
      <c:valAx>
        <c:axId val="201430011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9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JIBULU}.xlsx]Analysis!PivotTable2</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35870516185477"/>
          <c:y val="2.5428331875182269E-2"/>
          <c:w val="0.62763604549431318"/>
          <c:h val="0.56942111402741324"/>
        </c:manualLayout>
      </c:layout>
      <c:bar3DChart>
        <c:barDir val="col"/>
        <c:grouping val="stacked"/>
        <c:varyColors val="0"/>
        <c:ser>
          <c:idx val="0"/>
          <c:order val="0"/>
          <c:tx>
            <c:strRef>
              <c:f>Analysis!$B$3</c:f>
              <c:strCache>
                <c:ptCount val="1"/>
                <c:pt idx="0">
                  <c:v>Total Headcounts</c:v>
                </c:pt>
              </c:strCache>
            </c:strRef>
          </c:tx>
          <c:spPr>
            <a:solidFill>
              <a:schemeClr val="accent1"/>
            </a:solidFill>
            <a:ln>
              <a:noFill/>
            </a:ln>
            <a:effectLst/>
            <a:sp3d/>
          </c:spPr>
          <c:invertIfNegative val="0"/>
          <c:cat>
            <c:strRef>
              <c:f>Analysis!$A$4:$A$10</c:f>
              <c:strCache>
                <c:ptCount val="6"/>
                <c:pt idx="0">
                  <c:v>Finance</c:v>
                </c:pt>
                <c:pt idx="1">
                  <c:v>Human Resources</c:v>
                </c:pt>
                <c:pt idx="2">
                  <c:v>Information Technology</c:v>
                </c:pt>
                <c:pt idx="3">
                  <c:v>Marketing</c:v>
                </c:pt>
                <c:pt idx="4">
                  <c:v>Operations</c:v>
                </c:pt>
                <c:pt idx="5">
                  <c:v>Sales</c:v>
                </c:pt>
              </c:strCache>
            </c:strRef>
          </c:cat>
          <c:val>
            <c:numRef>
              <c:f>Analysis!$B$4:$B$10</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0C27-456F-9902-F113A8337520}"/>
            </c:ext>
          </c:extLst>
        </c:ser>
        <c:ser>
          <c:idx val="1"/>
          <c:order val="1"/>
          <c:tx>
            <c:strRef>
              <c:f>Analysis!$C$3</c:f>
              <c:strCache>
                <c:ptCount val="1"/>
                <c:pt idx="0">
                  <c:v>Average of Salary</c:v>
                </c:pt>
              </c:strCache>
            </c:strRef>
          </c:tx>
          <c:spPr>
            <a:solidFill>
              <a:schemeClr val="accent2"/>
            </a:solidFill>
            <a:ln>
              <a:noFill/>
            </a:ln>
            <a:effectLst/>
            <a:sp3d/>
          </c:spPr>
          <c:invertIfNegative val="0"/>
          <c:cat>
            <c:strRef>
              <c:f>Analysis!$A$4:$A$10</c:f>
              <c:strCache>
                <c:ptCount val="6"/>
                <c:pt idx="0">
                  <c:v>Finance</c:v>
                </c:pt>
                <c:pt idx="1">
                  <c:v>Human Resources</c:v>
                </c:pt>
                <c:pt idx="2">
                  <c:v>Information Technology</c:v>
                </c:pt>
                <c:pt idx="3">
                  <c:v>Marketing</c:v>
                </c:pt>
                <c:pt idx="4">
                  <c:v>Operations</c:v>
                </c:pt>
                <c:pt idx="5">
                  <c:v>Sales</c:v>
                </c:pt>
              </c:strCache>
            </c:strRef>
          </c:cat>
          <c:val>
            <c:numRef>
              <c:f>Analysis!$C$4:$C$10</c:f>
              <c:numCache>
                <c:formatCode>0</c:formatCode>
                <c:ptCount val="6"/>
                <c:pt idx="0">
                  <c:v>87016.42857142858</c:v>
                </c:pt>
                <c:pt idx="1">
                  <c:v>85486.801587301597</c:v>
                </c:pt>
                <c:pt idx="2">
                  <c:v>80389.14285714287</c:v>
                </c:pt>
                <c:pt idx="3">
                  <c:v>85361.075187969924</c:v>
                </c:pt>
                <c:pt idx="4">
                  <c:v>79988.512315270942</c:v>
                </c:pt>
                <c:pt idx="5">
                  <c:v>86103.271889400945</c:v>
                </c:pt>
              </c:numCache>
            </c:numRef>
          </c:val>
          <c:extLst>
            <c:ext xmlns:c16="http://schemas.microsoft.com/office/drawing/2014/chart" uri="{C3380CC4-5D6E-409C-BE32-E72D297353CC}">
              <c16:uniqueId val="{00000001-0C27-456F-9902-F113A8337520}"/>
            </c:ext>
          </c:extLst>
        </c:ser>
        <c:dLbls>
          <c:showLegendKey val="0"/>
          <c:showVal val="0"/>
          <c:showCatName val="0"/>
          <c:showSerName val="0"/>
          <c:showPercent val="0"/>
          <c:showBubbleSize val="0"/>
        </c:dLbls>
        <c:gapWidth val="150"/>
        <c:shape val="box"/>
        <c:axId val="2014298447"/>
        <c:axId val="2014300111"/>
        <c:axId val="0"/>
      </c:bar3DChart>
      <c:catAx>
        <c:axId val="2014298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300111"/>
        <c:crosses val="autoZero"/>
        <c:auto val="1"/>
        <c:lblAlgn val="ctr"/>
        <c:lblOffset val="100"/>
        <c:noMultiLvlLbl val="0"/>
      </c:catAx>
      <c:valAx>
        <c:axId val="201430011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29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JIBULU}.xlsx]Analysis!PivotTable4</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3DEFFA1-5059-4810-8B3D-339C84AA7A6D}"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842B5FE-A540-45C3-9875-A1D6271266FE}" type="VALUE">
                  <a:rPr lang="en-US" baseline="0"/>
                  <a:pPr>
                    <a:defRPr sz="1000" b="1" i="0" u="none" strike="noStrike" kern="1200" baseline="0">
                      <a:solidFill>
                        <a:schemeClr val="lt1"/>
                      </a:solidFill>
                      <a:latin typeface="+mn-lt"/>
                      <a:ea typeface="+mn-ea"/>
                      <a:cs typeface="+mn-cs"/>
                    </a:defRPr>
                  </a:pPr>
                  <a:t>[VALUE]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3DEFFA1-5059-4810-8B3D-339C84AA7A6D}" type="VALUE">
                  <a:rPr lang="en-US"/>
                  <a:pPr>
                    <a:defRPr sz="1000" b="1" i="0" u="none" strike="noStrike" kern="1200" baseline="0">
                      <a:solidFill>
                        <a:schemeClr val="lt1"/>
                      </a:solidFill>
                      <a:latin typeface="+mn-lt"/>
                      <a:ea typeface="+mn-ea"/>
                      <a:cs typeface="+mn-cs"/>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842B5FE-A540-45C3-9875-A1D6271266FE}" type="VALUE">
                  <a:rPr lang="en-US" baseline="0"/>
                  <a:pPr>
                    <a:defRPr sz="1000" b="1" i="0" u="none" strike="noStrike" kern="1200" baseline="0">
                      <a:solidFill>
                        <a:schemeClr val="lt1"/>
                      </a:solidFill>
                      <a:latin typeface="+mn-lt"/>
                      <a:ea typeface="+mn-ea"/>
                      <a:cs typeface="+mn-cs"/>
                    </a:defRPr>
                  </a:pPr>
                  <a:t>[VALUE]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3DEFFA1-5059-4810-8B3D-339C84AA7A6D}" type="VALUE">
                  <a:rPr lang="en-US"/>
                  <a:pPr>
                    <a:defRPr/>
                  </a:pPr>
                  <a:t>[VALUE]</a:t>
                </a:fld>
                <a:r>
                  <a:rPr lang="en-US" baseline="0"/>
                  <a:t> </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842B5FE-A540-45C3-9875-A1D6271266FE}" type="VALUE">
                  <a:rPr lang="en-US" baseline="0"/>
                  <a:pPr>
                    <a:defRPr/>
                  </a:pPr>
                  <a:t>[VALUE]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018243067383501"/>
          <c:y val="0.10132934333060903"/>
          <c:w val="0.4540987887624276"/>
          <c:h val="0.75572621910328774"/>
        </c:manualLayout>
      </c:layout>
      <c:pieChart>
        <c:varyColors val="1"/>
        <c:ser>
          <c:idx val="0"/>
          <c:order val="0"/>
          <c:tx>
            <c:strRef>
              <c:f>Analysis!$N$3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F6-41D1-9FEC-5F514DF39D6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F6-41D1-9FEC-5F514DF39D67}"/>
              </c:ext>
            </c:extLst>
          </c:dPt>
          <c:dLbls>
            <c:dLbl>
              <c:idx val="0"/>
              <c:tx>
                <c:rich>
                  <a:bodyPr/>
                  <a:lstStyle/>
                  <a:p>
                    <a:fld id="{73DEFFA1-5059-4810-8B3D-339C84AA7A6D}" type="VALUE">
                      <a:rPr lang="en-US"/>
                      <a:pPr/>
                      <a:t>[VALUE]</a:t>
                    </a:fld>
                    <a:r>
                      <a:rPr lang="en-US" baseline="0"/>
                      <a:t> </a:t>
                    </a:r>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1F6-41D1-9FEC-5F514DF39D67}"/>
                </c:ext>
              </c:extLst>
            </c:dLbl>
            <c:dLbl>
              <c:idx val="1"/>
              <c:tx>
                <c:rich>
                  <a:bodyPr/>
                  <a:lstStyle/>
                  <a:p>
                    <a:r>
                      <a:rPr lang="en-US" baseline="0"/>
                      <a:t> </a:t>
                    </a:r>
                    <a:fld id="{7842B5FE-A540-45C3-9875-A1D6271266FE}" type="VALUE">
                      <a:rPr lang="en-US" baseline="0"/>
                      <a:pPr/>
                      <a:t>[VALUE]</a:t>
                    </a:fld>
                    <a:endParaRPr lang="en-US" baseline="0"/>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1F6-41D1-9FEC-5F514DF39D6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Analysis!$M$4:$M$6</c:f>
              <c:strCache>
                <c:ptCount val="2"/>
                <c:pt idx="0">
                  <c:v>Active</c:v>
                </c:pt>
                <c:pt idx="1">
                  <c:v>Left</c:v>
                </c:pt>
              </c:strCache>
            </c:strRef>
          </c:cat>
          <c:val>
            <c:numRef>
              <c:f>Analysis!$N$4:$N$6</c:f>
              <c:numCache>
                <c:formatCode>0.00</c:formatCode>
                <c:ptCount val="2"/>
                <c:pt idx="0">
                  <c:v>67.741379310344826</c:v>
                </c:pt>
                <c:pt idx="1">
                  <c:v>66.208333333333329</c:v>
                </c:pt>
              </c:numCache>
            </c:numRef>
          </c:val>
          <c:extLst>
            <c:ext xmlns:c16="http://schemas.microsoft.com/office/drawing/2014/chart" uri="{C3380CC4-5D6E-409C-BE32-E72D297353CC}">
              <c16:uniqueId val="{00000004-31F6-41D1-9FEC-5F514DF39D6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Attrition</a:t>
            </a:r>
            <a:r>
              <a:rPr lang="en-GB" baseline="0"/>
              <a:t> Rate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33814523184596E-2"/>
          <c:y val="7.407407407407407E-2"/>
          <c:w val="0.74863648293963259"/>
          <c:h val="0.79081802274715662"/>
        </c:manualLayout>
      </c:layout>
      <c:barChart>
        <c:barDir val="col"/>
        <c:grouping val="percentStacked"/>
        <c:varyColors val="0"/>
        <c:ser>
          <c:idx val="0"/>
          <c:order val="0"/>
          <c:tx>
            <c:strRef>
              <c:f>Analysis!$G$3:$G$4</c:f>
              <c:strCache>
                <c:ptCount val="1"/>
                <c:pt idx="0">
                  <c:v>Active</c:v>
                </c:pt>
              </c:strCache>
            </c:strRef>
          </c:tx>
          <c:spPr>
            <a:solidFill>
              <a:schemeClr val="accent1"/>
            </a:solidFill>
            <a:ln>
              <a:noFill/>
            </a:ln>
            <a:effectLst/>
          </c:spPr>
          <c:invertIfNegative val="0"/>
          <c:cat>
            <c:strRef>
              <c:f>Analysis!$F$5:$F$11</c:f>
              <c:strCache>
                <c:ptCount val="6"/>
                <c:pt idx="0">
                  <c:v>Finance</c:v>
                </c:pt>
                <c:pt idx="1">
                  <c:v>Human Resources</c:v>
                </c:pt>
                <c:pt idx="2">
                  <c:v>Information Technology</c:v>
                </c:pt>
                <c:pt idx="3">
                  <c:v>Marketing</c:v>
                </c:pt>
                <c:pt idx="4">
                  <c:v>Operations</c:v>
                </c:pt>
                <c:pt idx="5">
                  <c:v>Sales</c:v>
                </c:pt>
              </c:strCache>
            </c:strRef>
          </c:cat>
          <c:val>
            <c:numRef>
              <c:f>Analysis!$G$5:$G$11</c:f>
              <c:numCache>
                <c:formatCode>0.00%</c:formatCode>
                <c:ptCount val="6"/>
                <c:pt idx="0">
                  <c:v>0.82352941176470584</c:v>
                </c:pt>
                <c:pt idx="1">
                  <c:v>0.88235294117647056</c:v>
                </c:pt>
                <c:pt idx="2">
                  <c:v>0.82352941176470584</c:v>
                </c:pt>
                <c:pt idx="3">
                  <c:v>0.84210526315789469</c:v>
                </c:pt>
                <c:pt idx="4">
                  <c:v>0.75</c:v>
                </c:pt>
                <c:pt idx="5">
                  <c:v>0.86206896551724133</c:v>
                </c:pt>
              </c:numCache>
            </c:numRef>
          </c:val>
          <c:extLst>
            <c:ext xmlns:c16="http://schemas.microsoft.com/office/drawing/2014/chart" uri="{C3380CC4-5D6E-409C-BE32-E72D297353CC}">
              <c16:uniqueId val="{00000000-D4EF-4391-B175-09C9C5D1D148}"/>
            </c:ext>
          </c:extLst>
        </c:ser>
        <c:ser>
          <c:idx val="1"/>
          <c:order val="1"/>
          <c:tx>
            <c:strRef>
              <c:f>Analysis!$H$3:$H$4</c:f>
              <c:strCache>
                <c:ptCount val="1"/>
                <c:pt idx="0">
                  <c:v>Left</c:v>
                </c:pt>
              </c:strCache>
            </c:strRef>
          </c:tx>
          <c:spPr>
            <a:solidFill>
              <a:schemeClr val="accent2"/>
            </a:solidFill>
            <a:ln>
              <a:noFill/>
            </a:ln>
            <a:effectLst/>
          </c:spPr>
          <c:invertIfNegative val="0"/>
          <c:cat>
            <c:strRef>
              <c:f>Analysis!$F$5:$F$11</c:f>
              <c:strCache>
                <c:ptCount val="6"/>
                <c:pt idx="0">
                  <c:v>Finance</c:v>
                </c:pt>
                <c:pt idx="1">
                  <c:v>Human Resources</c:v>
                </c:pt>
                <c:pt idx="2">
                  <c:v>Information Technology</c:v>
                </c:pt>
                <c:pt idx="3">
                  <c:v>Marketing</c:v>
                </c:pt>
                <c:pt idx="4">
                  <c:v>Operations</c:v>
                </c:pt>
                <c:pt idx="5">
                  <c:v>Sales</c:v>
                </c:pt>
              </c:strCache>
            </c:strRef>
          </c:cat>
          <c:val>
            <c:numRef>
              <c:f>Analysis!$H$5:$H$11</c:f>
              <c:numCache>
                <c:formatCode>0.00%</c:formatCode>
                <c:ptCount val="6"/>
                <c:pt idx="0">
                  <c:v>0.17647058823529413</c:v>
                </c:pt>
                <c:pt idx="1">
                  <c:v>0.11764705882352941</c:v>
                </c:pt>
                <c:pt idx="2">
                  <c:v>0.17647058823529413</c:v>
                </c:pt>
                <c:pt idx="3">
                  <c:v>0.15789473684210525</c:v>
                </c:pt>
                <c:pt idx="4">
                  <c:v>0.25</c:v>
                </c:pt>
                <c:pt idx="5">
                  <c:v>0.13793103448275862</c:v>
                </c:pt>
              </c:numCache>
            </c:numRef>
          </c:val>
          <c:extLst>
            <c:ext xmlns:c16="http://schemas.microsoft.com/office/drawing/2014/chart" uri="{C3380CC4-5D6E-409C-BE32-E72D297353CC}">
              <c16:uniqueId val="{00000006-D4EF-4391-B175-09C9C5D1D148}"/>
            </c:ext>
          </c:extLst>
        </c:ser>
        <c:dLbls>
          <c:showLegendKey val="0"/>
          <c:showVal val="0"/>
          <c:showCatName val="0"/>
          <c:showSerName val="0"/>
          <c:showPercent val="0"/>
          <c:showBubbleSize val="0"/>
        </c:dLbls>
        <c:gapWidth val="150"/>
        <c:overlap val="100"/>
        <c:axId val="2116735631"/>
        <c:axId val="2116736047"/>
      </c:barChart>
      <c:catAx>
        <c:axId val="211673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36047"/>
        <c:crosses val="autoZero"/>
        <c:auto val="1"/>
        <c:lblAlgn val="ctr"/>
        <c:lblOffset val="100"/>
        <c:noMultiLvlLbl val="0"/>
      </c:catAx>
      <c:valAx>
        <c:axId val="21167360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3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[HR_Capstone_Completed_{MULIKAT JIBULU}.xlsx]Analysis!PivotTable1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Bonus Payout by Performance Band</a:t>
            </a:r>
          </a:p>
        </c:rich>
      </c:tx>
      <c:layout>
        <c:manualLayout>
          <c:xMode val="edge"/>
          <c:yMode val="edge"/>
          <c:x val="0.18861111111111115"/>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52519443299359"/>
          <c:y val="0.20359999461267675"/>
          <c:w val="0.48554719483604503"/>
          <c:h val="0.56439913668144248"/>
        </c:manualLayout>
      </c:layout>
      <c:barChart>
        <c:barDir val="bar"/>
        <c:grouping val="clustered"/>
        <c:varyColors val="0"/>
        <c:ser>
          <c:idx val="0"/>
          <c:order val="0"/>
          <c:tx>
            <c:strRef>
              <c:f>Analysis!$S$3</c:f>
              <c:strCache>
                <c:ptCount val="1"/>
                <c:pt idx="0">
                  <c:v>Total</c:v>
                </c:pt>
              </c:strCache>
            </c:strRef>
          </c:tx>
          <c:spPr>
            <a:solidFill>
              <a:schemeClr val="accent1"/>
            </a:solidFill>
            <a:ln>
              <a:noFill/>
            </a:ln>
            <a:effectLst/>
          </c:spPr>
          <c:invertIfNegative val="0"/>
          <c:cat>
            <c:strRef>
              <c:f>Analysis!$R$4:$R$9</c:f>
              <c:strCache>
                <c:ptCount val="5"/>
                <c:pt idx="0">
                  <c:v>Achieving</c:v>
                </c:pt>
                <c:pt idx="1">
                  <c:v>Developing</c:v>
                </c:pt>
                <c:pt idx="2">
                  <c:v>Exceeding</c:v>
                </c:pt>
                <c:pt idx="3">
                  <c:v>Needs Improvement</c:v>
                </c:pt>
                <c:pt idx="4">
                  <c:v>Outstanding</c:v>
                </c:pt>
              </c:strCache>
            </c:strRef>
          </c:cat>
          <c:val>
            <c:numRef>
              <c:f>Analysis!$S$4:$S$9</c:f>
              <c:numCache>
                <c:formatCode>[$$-409]#,##0.00</c:formatCode>
                <c:ptCount val="5"/>
                <c:pt idx="0">
                  <c:v>164994.30714285717</c:v>
                </c:pt>
                <c:pt idx="1">
                  <c:v>84450.788571428595</c:v>
                </c:pt>
                <c:pt idx="2">
                  <c:v>144546.9485714286</c:v>
                </c:pt>
                <c:pt idx="3">
                  <c:v>0</c:v>
                </c:pt>
                <c:pt idx="4">
                  <c:v>92304.651428571437</c:v>
                </c:pt>
              </c:numCache>
            </c:numRef>
          </c:val>
          <c:extLst>
            <c:ext xmlns:c16="http://schemas.microsoft.com/office/drawing/2014/chart" uri="{C3380CC4-5D6E-409C-BE32-E72D297353CC}">
              <c16:uniqueId val="{00000000-FD2A-4F73-AAA5-03A92A78A88D}"/>
            </c:ext>
          </c:extLst>
        </c:ser>
        <c:dLbls>
          <c:showLegendKey val="0"/>
          <c:showVal val="0"/>
          <c:showCatName val="0"/>
          <c:showSerName val="0"/>
          <c:showPercent val="0"/>
          <c:showBubbleSize val="0"/>
        </c:dLbls>
        <c:gapWidth val="182"/>
        <c:axId val="240962704"/>
        <c:axId val="240964784"/>
      </c:barChart>
      <c:catAx>
        <c:axId val="24096270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64784"/>
        <c:crosses val="autoZero"/>
        <c:auto val="1"/>
        <c:lblAlgn val="ctr"/>
        <c:lblOffset val="100"/>
        <c:noMultiLvlLbl val="0"/>
      </c:catAx>
      <c:valAx>
        <c:axId val="2409647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6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434340</xdr:colOff>
      <xdr:row>12</xdr:row>
      <xdr:rowOff>0</xdr:rowOff>
    </xdr:from>
    <xdr:to>
      <xdr:col>10</xdr:col>
      <xdr:colOff>373380</xdr:colOff>
      <xdr:row>29</xdr:row>
      <xdr:rowOff>0</xdr:rowOff>
    </xdr:to>
    <xdr:graphicFrame macro="">
      <xdr:nvGraphicFramePr>
        <xdr:cNvPr id="3" name="Chart 2">
          <a:extLst>
            <a:ext uri="{FF2B5EF4-FFF2-40B4-BE49-F238E27FC236}">
              <a16:creationId xmlns:a16="http://schemas.microsoft.com/office/drawing/2014/main" id="{4D7971B2-3D8E-4EA7-BA8D-5B1F40E51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571591</xdr:colOff>
      <xdr:row>9</xdr:row>
      <xdr:rowOff>18362</xdr:rowOff>
    </xdr:from>
    <xdr:to>
      <xdr:col>15</xdr:col>
      <xdr:colOff>633470</xdr:colOff>
      <xdr:row>24</xdr:row>
      <xdr:rowOff>8998</xdr:rowOff>
    </xdr:to>
    <xdr:graphicFrame macro="">
      <xdr:nvGraphicFramePr>
        <xdr:cNvPr id="4" name="Chart 3">
          <a:extLst>
            <a:ext uri="{FF2B5EF4-FFF2-40B4-BE49-F238E27FC236}">
              <a16:creationId xmlns:a16="http://schemas.microsoft.com/office/drawing/2014/main" id="{76885CD8-8D21-4058-B16A-C16D39361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541662</xdr:colOff>
      <xdr:row>9</xdr:row>
      <xdr:rowOff>51412</xdr:rowOff>
    </xdr:from>
    <xdr:to>
      <xdr:col>19</xdr:col>
      <xdr:colOff>1221035</xdr:colOff>
      <xdr:row>24</xdr:row>
      <xdr:rowOff>40395</xdr:rowOff>
    </xdr:to>
    <xdr:graphicFrame macro="">
      <xdr:nvGraphicFramePr>
        <xdr:cNvPr id="9" name="Chart 8">
          <a:extLst>
            <a:ext uri="{FF2B5EF4-FFF2-40B4-BE49-F238E27FC236}">
              <a16:creationId xmlns:a16="http://schemas.microsoft.com/office/drawing/2014/main" id="{2E79B984-B0B4-4B33-B8E1-88315B349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0</xdr:rowOff>
    </xdr:from>
    <xdr:to>
      <xdr:col>3</xdr:col>
      <xdr:colOff>1036320</xdr:colOff>
      <xdr:row>30</xdr:row>
      <xdr:rowOff>38100</xdr:rowOff>
    </xdr:to>
    <xdr:graphicFrame macro="">
      <xdr:nvGraphicFramePr>
        <xdr:cNvPr id="8" name="Chart 1">
          <a:extLst>
            <a:ext uri="{FF2B5EF4-FFF2-40B4-BE49-F238E27FC236}">
              <a16:creationId xmlns:a16="http://schemas.microsoft.com/office/drawing/2014/main" id="{AF685531-CE3C-4E80-A8DA-037904C91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24</xdr:col>
      <xdr:colOff>0</xdr:colOff>
      <xdr:row>35</xdr:row>
      <xdr:rowOff>0</xdr:rowOff>
    </xdr:to>
    <xdr:sp macro="" textlink="">
      <xdr:nvSpPr>
        <xdr:cNvPr id="2" name="Rectangle 1">
          <a:extLst>
            <a:ext uri="{FF2B5EF4-FFF2-40B4-BE49-F238E27FC236}">
              <a16:creationId xmlns:a16="http://schemas.microsoft.com/office/drawing/2014/main" id="{490D75FF-4ED6-4A45-B762-753695ECF5E2}"/>
            </a:ext>
          </a:extLst>
        </xdr:cNvPr>
        <xdr:cNvSpPr/>
      </xdr:nvSpPr>
      <xdr:spPr>
        <a:xfrm>
          <a:off x="60960" y="0"/>
          <a:ext cx="14569440" cy="6400800"/>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68580</xdr:colOff>
      <xdr:row>0</xdr:row>
      <xdr:rowOff>7620</xdr:rowOff>
    </xdr:from>
    <xdr:to>
      <xdr:col>24</xdr:col>
      <xdr:colOff>0</xdr:colOff>
      <xdr:row>4</xdr:row>
      <xdr:rowOff>0</xdr:rowOff>
    </xdr:to>
    <xdr:sp macro="" textlink="">
      <xdr:nvSpPr>
        <xdr:cNvPr id="3" name="Rectangle 2">
          <a:extLst>
            <a:ext uri="{FF2B5EF4-FFF2-40B4-BE49-F238E27FC236}">
              <a16:creationId xmlns:a16="http://schemas.microsoft.com/office/drawing/2014/main" id="{E4428FFA-BCAA-402F-9BE3-A7418554483A}"/>
            </a:ext>
          </a:extLst>
        </xdr:cNvPr>
        <xdr:cNvSpPr/>
      </xdr:nvSpPr>
      <xdr:spPr>
        <a:xfrm>
          <a:off x="68580" y="7620"/>
          <a:ext cx="14561820" cy="723900"/>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solidFill>
                <a:schemeClr val="bg2">
                  <a:lumMod val="10000"/>
                </a:schemeClr>
              </a:solidFill>
              <a:latin typeface="Arial Rounded MT Bold" panose="020F0704030504030204" pitchFamily="34" charset="0"/>
            </a:rPr>
            <a:t>HR_CAPSTONE ENTERPRISE PERFORMANCE DASHBOARD</a:t>
          </a:r>
        </a:p>
      </xdr:txBody>
    </xdr:sp>
    <xdr:clientData/>
  </xdr:twoCellAnchor>
  <xdr:twoCellAnchor>
    <xdr:from>
      <xdr:col>0</xdr:col>
      <xdr:colOff>76200</xdr:colOff>
      <xdr:row>1</xdr:row>
      <xdr:rowOff>167641</xdr:rowOff>
    </xdr:from>
    <xdr:to>
      <xdr:col>23</xdr:col>
      <xdr:colOff>594360</xdr:colOff>
      <xdr:row>4</xdr:row>
      <xdr:rowOff>15240</xdr:rowOff>
    </xdr:to>
    <xdr:sp macro="" textlink="">
      <xdr:nvSpPr>
        <xdr:cNvPr id="4" name="Rectangle 3">
          <a:extLst>
            <a:ext uri="{FF2B5EF4-FFF2-40B4-BE49-F238E27FC236}">
              <a16:creationId xmlns:a16="http://schemas.microsoft.com/office/drawing/2014/main" id="{1EC9EBAF-64EC-4237-B41E-7B28FF0B3F87}"/>
            </a:ext>
          </a:extLst>
        </xdr:cNvPr>
        <xdr:cNvSpPr/>
      </xdr:nvSpPr>
      <xdr:spPr>
        <a:xfrm flipH="1">
          <a:off x="76200" y="350521"/>
          <a:ext cx="14538960" cy="396239"/>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a:solidFill>
                <a:schemeClr val="bg2">
                  <a:lumMod val="10000"/>
                </a:schemeClr>
              </a:solidFill>
              <a:latin typeface="Arial Rounded MT Bold" panose="020F0704030504030204" pitchFamily="34" charset="0"/>
            </a:rPr>
            <a:t>INTERACTIVE DASHBOARD SHOWING RELATIONSHIP</a:t>
          </a:r>
        </a:p>
      </xdr:txBody>
    </xdr:sp>
    <xdr:clientData/>
  </xdr:twoCellAnchor>
  <xdr:twoCellAnchor>
    <xdr:from>
      <xdr:col>0</xdr:col>
      <xdr:colOff>106680</xdr:colOff>
      <xdr:row>9</xdr:row>
      <xdr:rowOff>106681</xdr:rowOff>
    </xdr:from>
    <xdr:to>
      <xdr:col>7</xdr:col>
      <xdr:colOff>76200</xdr:colOff>
      <xdr:row>21</xdr:row>
      <xdr:rowOff>22861</xdr:rowOff>
    </xdr:to>
    <xdr:graphicFrame macro="">
      <xdr:nvGraphicFramePr>
        <xdr:cNvPr id="13" name="Chart 12">
          <a:extLst>
            <a:ext uri="{FF2B5EF4-FFF2-40B4-BE49-F238E27FC236}">
              <a16:creationId xmlns:a16="http://schemas.microsoft.com/office/drawing/2014/main" id="{77FA23D4-71D0-414E-B352-DD8D1FAB6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106680</xdr:colOff>
      <xdr:row>22</xdr:row>
      <xdr:rowOff>144780</xdr:rowOff>
    </xdr:from>
    <xdr:to>
      <xdr:col>7</xdr:col>
      <xdr:colOff>53340</xdr:colOff>
      <xdr:row>34</xdr:row>
      <xdr:rowOff>129701</xdr:rowOff>
    </xdr:to>
    <xdr:graphicFrame macro="">
      <xdr:nvGraphicFramePr>
        <xdr:cNvPr id="14" name="Chart 13">
          <a:extLst>
            <a:ext uri="{FF2B5EF4-FFF2-40B4-BE49-F238E27FC236}">
              <a16:creationId xmlns:a16="http://schemas.microsoft.com/office/drawing/2014/main" id="{790434CD-90A6-4855-B00B-23E1D5084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xdr:colOff>
      <xdr:row>9</xdr:row>
      <xdr:rowOff>106681</xdr:rowOff>
    </xdr:from>
    <xdr:to>
      <xdr:col>15</xdr:col>
      <xdr:colOff>0</xdr:colOff>
      <xdr:row>21</xdr:row>
      <xdr:rowOff>30480</xdr:rowOff>
    </xdr:to>
    <xdr:graphicFrame macro="">
      <xdr:nvGraphicFramePr>
        <xdr:cNvPr id="16" name="Chart 15">
          <a:extLst>
            <a:ext uri="{FF2B5EF4-FFF2-40B4-BE49-F238E27FC236}">
              <a16:creationId xmlns:a16="http://schemas.microsoft.com/office/drawing/2014/main" id="{E1771AE8-66E0-4E54-A653-7FAF76AE2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xdr:colOff>
      <xdr:row>22</xdr:row>
      <xdr:rowOff>144780</xdr:rowOff>
    </xdr:from>
    <xdr:to>
      <xdr:col>15</xdr:col>
      <xdr:colOff>91440</xdr:colOff>
      <xdr:row>34</xdr:row>
      <xdr:rowOff>143288</xdr:rowOff>
    </xdr:to>
    <xdr:graphicFrame macro="">
      <xdr:nvGraphicFramePr>
        <xdr:cNvPr id="17" name="Chart 16">
          <a:extLst>
            <a:ext uri="{FF2B5EF4-FFF2-40B4-BE49-F238E27FC236}">
              <a16:creationId xmlns:a16="http://schemas.microsoft.com/office/drawing/2014/main" id="{3F263382-39FC-4206-94FB-2F229183A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21771</xdr:colOff>
      <xdr:row>4</xdr:row>
      <xdr:rowOff>6531</xdr:rowOff>
    </xdr:from>
    <xdr:to>
      <xdr:col>23</xdr:col>
      <xdr:colOff>574765</xdr:colOff>
      <xdr:row>11</xdr:row>
      <xdr:rowOff>82731</xdr:rowOff>
    </xdr:to>
    <mc:AlternateContent xmlns:mc="http://schemas.openxmlformats.org/markup-compatibility/2006" xmlns:tsle="http://schemas.microsoft.com/office/drawing/2012/timeslicer">
      <mc:Choice Requires="tsle">
        <xdr:graphicFrame macro="">
          <xdr:nvGraphicFramePr>
            <xdr:cNvPr id="24" name="Hire Date">
              <a:extLst>
                <a:ext uri="{FF2B5EF4-FFF2-40B4-BE49-F238E27FC236}">
                  <a16:creationId xmlns:a16="http://schemas.microsoft.com/office/drawing/2014/main" id="{976A19B8-AD21-46DD-A70B-9DE485F2DDBB}"/>
                </a:ext>
              </a:extLst>
            </xdr:cNvPr>
            <xdr:cNvGraphicFramePr/>
          </xdr:nvGraphicFramePr>
          <xdr:xfrm>
            <a:off x="0" y="0"/>
            <a:ext cx="0" cy="0"/>
          </xdr:xfrm>
          <a:graphic>
            <a:graphicData uri="http://schemas.microsoft.com/office/drawing/2012/timeslicer">
              <tsle:timeslicer name="Hire Date"/>
            </a:graphicData>
          </a:graphic>
        </xdr:graphicFrame>
      </mc:Choice>
      <mc:Fallback xmlns="">
        <xdr:sp macro="" textlink="">
          <xdr:nvSpPr>
            <xdr:cNvPr id="0" name=""/>
            <xdr:cNvSpPr>
              <a:spLocks noTextEdit="1"/>
            </xdr:cNvSpPr>
          </xdr:nvSpPr>
          <xdr:spPr>
            <a:xfrm>
              <a:off x="11604171" y="746760"/>
              <a:ext cx="2991394"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15</xdr:col>
      <xdr:colOff>341811</xdr:colOff>
      <xdr:row>4</xdr:row>
      <xdr:rowOff>47896</xdr:rowOff>
    </xdr:from>
    <xdr:to>
      <xdr:col>18</xdr:col>
      <xdr:colOff>334011</xdr:colOff>
      <xdr:row>14</xdr:row>
      <xdr:rowOff>130628</xdr:rowOff>
    </xdr:to>
    <mc:AlternateContent xmlns:mc="http://schemas.openxmlformats.org/markup-compatibility/2006" xmlns:a14="http://schemas.microsoft.com/office/drawing/2010/main">
      <mc:Choice Requires="a14">
        <xdr:graphicFrame macro="">
          <xdr:nvGraphicFramePr>
            <xdr:cNvPr id="25" name="Dept Code">
              <a:extLst>
                <a:ext uri="{FF2B5EF4-FFF2-40B4-BE49-F238E27FC236}">
                  <a16:creationId xmlns:a16="http://schemas.microsoft.com/office/drawing/2014/main" id="{494AECD6-860D-46A9-9F46-0D14BD012E5B}"/>
                </a:ext>
              </a:extLst>
            </xdr:cNvPr>
            <xdr:cNvGraphicFramePr/>
          </xdr:nvGraphicFramePr>
          <xdr:xfrm>
            <a:off x="0" y="0"/>
            <a:ext cx="0" cy="0"/>
          </xdr:xfrm>
          <a:graphic>
            <a:graphicData uri="http://schemas.microsoft.com/office/drawing/2010/slicer">
              <sle:slicer xmlns:sle="http://schemas.microsoft.com/office/drawing/2010/slicer" name="Dept Code"/>
            </a:graphicData>
          </a:graphic>
        </xdr:graphicFrame>
      </mc:Choice>
      <mc:Fallback xmlns="">
        <xdr:sp macro="" textlink="">
          <xdr:nvSpPr>
            <xdr:cNvPr id="0" name=""/>
            <xdr:cNvSpPr>
              <a:spLocks noTextEdit="1"/>
            </xdr:cNvSpPr>
          </xdr:nvSpPr>
          <xdr:spPr>
            <a:xfrm>
              <a:off x="9485811" y="788125"/>
              <a:ext cx="1821000" cy="19333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332014</xdr:colOff>
      <xdr:row>14</xdr:row>
      <xdr:rowOff>146957</xdr:rowOff>
    </xdr:from>
    <xdr:to>
      <xdr:col>18</xdr:col>
      <xdr:colOff>324214</xdr:colOff>
      <xdr:row>25</xdr:row>
      <xdr:rowOff>43541</xdr:rowOff>
    </xdr:to>
    <mc:AlternateContent xmlns:mc="http://schemas.openxmlformats.org/markup-compatibility/2006" xmlns:a14="http://schemas.microsoft.com/office/drawing/2010/main">
      <mc:Choice Requires="a14">
        <xdr:graphicFrame macro="">
          <xdr:nvGraphicFramePr>
            <xdr:cNvPr id="26" name="Years Of Service">
              <a:extLst>
                <a:ext uri="{FF2B5EF4-FFF2-40B4-BE49-F238E27FC236}">
                  <a16:creationId xmlns:a16="http://schemas.microsoft.com/office/drawing/2014/main" id="{A3B583A5-93F5-4D89-9113-EBF50DE07AA9}"/>
                </a:ext>
              </a:extLst>
            </xdr:cNvPr>
            <xdr:cNvGraphicFramePr/>
          </xdr:nvGraphicFramePr>
          <xdr:xfrm>
            <a:off x="0" y="0"/>
            <a:ext cx="0" cy="0"/>
          </xdr:xfrm>
          <a:graphic>
            <a:graphicData uri="http://schemas.microsoft.com/office/drawing/2010/slicer">
              <sle:slicer xmlns:sle="http://schemas.microsoft.com/office/drawing/2010/slicer" name="Years Of Service"/>
            </a:graphicData>
          </a:graphic>
        </xdr:graphicFrame>
      </mc:Choice>
      <mc:Fallback xmlns="">
        <xdr:sp macro="" textlink="">
          <xdr:nvSpPr>
            <xdr:cNvPr id="0" name=""/>
            <xdr:cNvSpPr>
              <a:spLocks noTextEdit="1"/>
            </xdr:cNvSpPr>
          </xdr:nvSpPr>
          <xdr:spPr>
            <a:xfrm>
              <a:off x="9476014" y="2737757"/>
              <a:ext cx="1821000" cy="19322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354874</xdr:colOff>
      <xdr:row>25</xdr:row>
      <xdr:rowOff>104503</xdr:rowOff>
    </xdr:from>
    <xdr:to>
      <xdr:col>18</xdr:col>
      <xdr:colOff>347074</xdr:colOff>
      <xdr:row>34</xdr:row>
      <xdr:rowOff>141515</xdr:rowOff>
    </xdr:to>
    <mc:AlternateContent xmlns:mc="http://schemas.openxmlformats.org/markup-compatibility/2006" xmlns:a14="http://schemas.microsoft.com/office/drawing/2010/main">
      <mc:Choice Requires="a14">
        <xdr:graphicFrame macro="">
          <xdr:nvGraphicFramePr>
            <xdr:cNvPr id="27" name="Performance Band">
              <a:extLst>
                <a:ext uri="{FF2B5EF4-FFF2-40B4-BE49-F238E27FC236}">
                  <a16:creationId xmlns:a16="http://schemas.microsoft.com/office/drawing/2014/main" id="{0A244B6B-C70C-4CC7-9927-07CEDD263C32}"/>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mlns="">
        <xdr:sp macro="" textlink="">
          <xdr:nvSpPr>
            <xdr:cNvPr id="0" name=""/>
            <xdr:cNvSpPr>
              <a:spLocks noTextEdit="1"/>
            </xdr:cNvSpPr>
          </xdr:nvSpPr>
          <xdr:spPr>
            <a:xfrm>
              <a:off x="9498874" y="4730932"/>
              <a:ext cx="1821000" cy="17025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90354</xdr:colOff>
      <xdr:row>4</xdr:row>
      <xdr:rowOff>54429</xdr:rowOff>
    </xdr:from>
    <xdr:to>
      <xdr:col>3</xdr:col>
      <xdr:colOff>337460</xdr:colOff>
      <xdr:row>8</xdr:row>
      <xdr:rowOff>77289</xdr:rowOff>
    </xdr:to>
    <xdr:grpSp>
      <xdr:nvGrpSpPr>
        <xdr:cNvPr id="49" name="Group 48">
          <a:extLst>
            <a:ext uri="{FF2B5EF4-FFF2-40B4-BE49-F238E27FC236}">
              <a16:creationId xmlns:a16="http://schemas.microsoft.com/office/drawing/2014/main" id="{992E5DC1-1EE9-4979-A828-3B77F3A6CA8F}"/>
            </a:ext>
          </a:extLst>
        </xdr:cNvPr>
        <xdr:cNvGrpSpPr/>
      </xdr:nvGrpSpPr>
      <xdr:grpSpPr>
        <a:xfrm>
          <a:off x="90354" y="794658"/>
          <a:ext cx="2075906" cy="763088"/>
          <a:chOff x="90353" y="842556"/>
          <a:chExt cx="2075906" cy="763088"/>
        </a:xfrm>
      </xdr:grpSpPr>
      <xdr:sp macro="" textlink="Analysis!$C$4:$C$9">
        <xdr:nvSpPr>
          <xdr:cNvPr id="5" name="Rectangle 4">
            <a:extLst>
              <a:ext uri="{FF2B5EF4-FFF2-40B4-BE49-F238E27FC236}">
                <a16:creationId xmlns:a16="http://schemas.microsoft.com/office/drawing/2014/main" id="{A85D36FB-5505-4F1F-AB7D-3C56B6531E09}"/>
              </a:ext>
            </a:extLst>
          </xdr:cNvPr>
          <xdr:cNvSpPr/>
        </xdr:nvSpPr>
        <xdr:spPr>
          <a:xfrm>
            <a:off x="90353" y="842556"/>
            <a:ext cx="2075906" cy="763088"/>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FINANCE</a:t>
            </a:r>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AVERAGE SALARY</a:t>
            </a:r>
          </a:p>
          <a:p>
            <a:pPr algn="l"/>
            <a:fld id="{C0C69FCD-3BCA-4CD2-B6D0-75C70F834B5F}" type="TxLink">
              <a:rPr lang="en-US" sz="1100" b="0" i="0" u="none" strike="noStrike">
                <a:solidFill>
                  <a:srgbClr val="000000"/>
                </a:solidFill>
                <a:latin typeface="Calibri"/>
                <a:ea typeface="Calibri"/>
                <a:cs typeface="Calibri"/>
              </a:rPr>
              <a:pPr algn="l"/>
              <a:t>87016</a:t>
            </a:fld>
            <a:endParaRPr lang="en-GB" sz="1100"/>
          </a:p>
        </xdr:txBody>
      </xdr:sp>
      <xdr:sp macro="" textlink="Analysis!$B$4">
        <xdr:nvSpPr>
          <xdr:cNvPr id="45" name="Oval 44">
            <a:extLst>
              <a:ext uri="{FF2B5EF4-FFF2-40B4-BE49-F238E27FC236}">
                <a16:creationId xmlns:a16="http://schemas.microsoft.com/office/drawing/2014/main" id="{1A44B34B-3287-4723-95D2-9ED3E0424570}"/>
              </a:ext>
            </a:extLst>
          </xdr:cNvPr>
          <xdr:cNvSpPr/>
        </xdr:nvSpPr>
        <xdr:spPr>
          <a:xfrm>
            <a:off x="1295401" y="1088571"/>
            <a:ext cx="838200" cy="511629"/>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58A9255-C9C7-41B4-A7F7-E709C9A0F51D}" type="TxLink">
              <a:rPr lang="en-US" sz="1100" b="0" i="0" u="none" strike="noStrike">
                <a:solidFill>
                  <a:srgbClr val="000000"/>
                </a:solidFill>
                <a:latin typeface="Calibri"/>
                <a:ea typeface="Calibri"/>
                <a:cs typeface="Calibri"/>
              </a:rPr>
              <a:pPr algn="l"/>
              <a:t>17</a:t>
            </a:fld>
            <a:endParaRPr lang="en-GB" sz="1100"/>
          </a:p>
        </xdr:txBody>
      </xdr:sp>
    </xdr:grpSp>
    <xdr:clientData/>
  </xdr:twoCellAnchor>
  <xdr:twoCellAnchor>
    <xdr:from>
      <xdr:col>3</xdr:col>
      <xdr:colOff>605246</xdr:colOff>
      <xdr:row>4</xdr:row>
      <xdr:rowOff>65314</xdr:rowOff>
    </xdr:from>
    <xdr:to>
      <xdr:col>7</xdr:col>
      <xdr:colOff>242752</xdr:colOff>
      <xdr:row>8</xdr:row>
      <xdr:rowOff>97972</xdr:rowOff>
    </xdr:to>
    <xdr:grpSp>
      <xdr:nvGrpSpPr>
        <xdr:cNvPr id="58" name="Group 57">
          <a:extLst>
            <a:ext uri="{FF2B5EF4-FFF2-40B4-BE49-F238E27FC236}">
              <a16:creationId xmlns:a16="http://schemas.microsoft.com/office/drawing/2014/main" id="{E9716691-F425-48FF-9751-775A7DC7EECB}"/>
            </a:ext>
          </a:extLst>
        </xdr:cNvPr>
        <xdr:cNvGrpSpPr/>
      </xdr:nvGrpSpPr>
      <xdr:grpSpPr>
        <a:xfrm>
          <a:off x="2434046" y="805543"/>
          <a:ext cx="2075906" cy="772886"/>
          <a:chOff x="2379617" y="827314"/>
          <a:chExt cx="2075906" cy="772886"/>
        </a:xfrm>
      </xdr:grpSpPr>
      <xdr:sp macro="" textlink="Analysis!$G$5:$G$10">
        <xdr:nvSpPr>
          <xdr:cNvPr id="18" name="Rectangle 17">
            <a:extLst>
              <a:ext uri="{FF2B5EF4-FFF2-40B4-BE49-F238E27FC236}">
                <a16:creationId xmlns:a16="http://schemas.microsoft.com/office/drawing/2014/main" id="{9CAC8862-853C-4F22-B1A5-5ED8454761D7}"/>
              </a:ext>
            </a:extLst>
          </xdr:cNvPr>
          <xdr:cNvSpPr/>
        </xdr:nvSpPr>
        <xdr:spPr>
          <a:xfrm>
            <a:off x="2379617" y="827314"/>
            <a:ext cx="2075906" cy="763088"/>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Arial Rounded MT Bold" panose="020F0704030504030204" pitchFamily="34" charset="0"/>
                <a:ea typeface="Calibri"/>
                <a:cs typeface="Calibri"/>
              </a:rPr>
              <a:t>FINANCE ATTRITION</a:t>
            </a:r>
          </a:p>
          <a:p>
            <a:pPr algn="l"/>
            <a:r>
              <a:rPr lang="en-US" sz="1100" b="0" i="0" u="none" strike="noStrike">
                <a:solidFill>
                  <a:srgbClr val="000000"/>
                </a:solidFill>
                <a:latin typeface="Calibri"/>
                <a:ea typeface="Calibri"/>
                <a:cs typeface="Calibri"/>
              </a:rPr>
              <a:t>ACTIVE</a:t>
            </a:r>
          </a:p>
          <a:p>
            <a:pPr algn="l"/>
            <a:fld id="{5C2886F3-3E8E-4A48-84FF-37B048EE2BBE}" type="TxLink">
              <a:rPr lang="en-US" sz="1100" b="0" i="0" u="none" strike="noStrike">
                <a:solidFill>
                  <a:srgbClr val="000000"/>
                </a:solidFill>
                <a:latin typeface="Calibri"/>
                <a:ea typeface="Calibri"/>
                <a:cs typeface="Calibri"/>
              </a:rPr>
              <a:pPr algn="l"/>
              <a:t>82.35%</a:t>
            </a:fld>
            <a:endParaRPr lang="en-GB" sz="1100"/>
          </a:p>
        </xdr:txBody>
      </xdr:sp>
      <xdr:sp macro="" textlink="Analysis!$H$5">
        <xdr:nvSpPr>
          <xdr:cNvPr id="51" name="Oval 50">
            <a:extLst>
              <a:ext uri="{FF2B5EF4-FFF2-40B4-BE49-F238E27FC236}">
                <a16:creationId xmlns:a16="http://schemas.microsoft.com/office/drawing/2014/main" id="{F834E188-1683-4FA8-8D7D-F14B4E6BACCA}"/>
              </a:ext>
            </a:extLst>
          </xdr:cNvPr>
          <xdr:cNvSpPr/>
        </xdr:nvSpPr>
        <xdr:spPr>
          <a:xfrm>
            <a:off x="3472543" y="1088571"/>
            <a:ext cx="953589" cy="511629"/>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BB1040B-410E-499F-91F8-903DEB28C49C}" type="TxLink">
              <a:rPr lang="en-US" sz="1100" b="0" i="0" u="none" strike="noStrike">
                <a:solidFill>
                  <a:srgbClr val="000000"/>
                </a:solidFill>
                <a:latin typeface="Calibri"/>
                <a:ea typeface="Calibri"/>
                <a:cs typeface="Calibri"/>
              </a:rPr>
              <a:pPr algn="l"/>
              <a:t>17.65%</a:t>
            </a:fld>
            <a:endParaRPr lang="en-GB" sz="1100"/>
          </a:p>
        </xdr:txBody>
      </xdr:sp>
    </xdr:grpSp>
    <xdr:clientData/>
  </xdr:twoCellAnchor>
  <xdr:twoCellAnchor>
    <xdr:from>
      <xdr:col>7</xdr:col>
      <xdr:colOff>474617</xdr:colOff>
      <xdr:row>4</xdr:row>
      <xdr:rowOff>65314</xdr:rowOff>
    </xdr:from>
    <xdr:to>
      <xdr:col>11</xdr:col>
      <xdr:colOff>112123</xdr:colOff>
      <xdr:row>8</xdr:row>
      <xdr:rowOff>88174</xdr:rowOff>
    </xdr:to>
    <xdr:grpSp>
      <xdr:nvGrpSpPr>
        <xdr:cNvPr id="59" name="Group 58">
          <a:extLst>
            <a:ext uri="{FF2B5EF4-FFF2-40B4-BE49-F238E27FC236}">
              <a16:creationId xmlns:a16="http://schemas.microsoft.com/office/drawing/2014/main" id="{5FD360BC-55B9-47EA-BB65-1054141EE471}"/>
            </a:ext>
          </a:extLst>
        </xdr:cNvPr>
        <xdr:cNvGrpSpPr/>
      </xdr:nvGrpSpPr>
      <xdr:grpSpPr>
        <a:xfrm>
          <a:off x="4741817" y="805543"/>
          <a:ext cx="2075906" cy="763088"/>
          <a:chOff x="4698274" y="838200"/>
          <a:chExt cx="2075906" cy="763088"/>
        </a:xfrm>
      </xdr:grpSpPr>
      <xdr:sp macro="" textlink="Analysis!$N$4">
        <xdr:nvSpPr>
          <xdr:cNvPr id="19" name="Rectangle 18">
            <a:extLst>
              <a:ext uri="{FF2B5EF4-FFF2-40B4-BE49-F238E27FC236}">
                <a16:creationId xmlns:a16="http://schemas.microsoft.com/office/drawing/2014/main" id="{BC350F00-6CCD-4607-9AB5-6C81A03D4468}"/>
              </a:ext>
            </a:extLst>
          </xdr:cNvPr>
          <xdr:cNvSpPr/>
        </xdr:nvSpPr>
        <xdr:spPr>
          <a:xfrm>
            <a:off x="4698274" y="838200"/>
            <a:ext cx="2075906" cy="763088"/>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Arial Rounded MT Bold" panose="020F0704030504030204" pitchFamily="34" charset="0"/>
                <a:ea typeface="Calibri"/>
                <a:cs typeface="Calibri"/>
              </a:rPr>
              <a:t>PERFORMANCE SCORE</a:t>
            </a:r>
          </a:p>
          <a:p>
            <a:pPr algn="l"/>
            <a:r>
              <a:rPr lang="en-US" sz="1100" b="0" i="0" u="none" strike="noStrike">
                <a:solidFill>
                  <a:srgbClr val="000000"/>
                </a:solidFill>
                <a:latin typeface="Calibri"/>
                <a:ea typeface="Calibri"/>
                <a:cs typeface="Calibri"/>
              </a:rPr>
              <a:t>ACTIVE</a:t>
            </a:r>
          </a:p>
          <a:p>
            <a:pPr algn="l"/>
            <a:fld id="{3786F2C8-41A9-45A4-8FB2-AA8C89C89174}" type="TxLink">
              <a:rPr lang="en-US" sz="1100" b="0" i="0" u="none" strike="noStrike">
                <a:solidFill>
                  <a:srgbClr val="000000"/>
                </a:solidFill>
                <a:latin typeface="Calibri"/>
                <a:ea typeface="Calibri"/>
                <a:cs typeface="Calibri"/>
              </a:rPr>
              <a:pPr algn="l"/>
              <a:t>67.74</a:t>
            </a:fld>
            <a:endParaRPr lang="en-GB" sz="1100">
              <a:solidFill>
                <a:sysClr val="windowText" lastClr="000000"/>
              </a:solidFill>
            </a:endParaRPr>
          </a:p>
        </xdr:txBody>
      </xdr:sp>
      <xdr:sp macro="" textlink="Analysis!$N$5">
        <xdr:nvSpPr>
          <xdr:cNvPr id="56" name="Oval 55">
            <a:extLst>
              <a:ext uri="{FF2B5EF4-FFF2-40B4-BE49-F238E27FC236}">
                <a16:creationId xmlns:a16="http://schemas.microsoft.com/office/drawing/2014/main" id="{C985C041-EC27-47F1-9203-C7D77F9F5463}"/>
              </a:ext>
            </a:extLst>
          </xdr:cNvPr>
          <xdr:cNvSpPr/>
        </xdr:nvSpPr>
        <xdr:spPr>
          <a:xfrm>
            <a:off x="5808617" y="1055914"/>
            <a:ext cx="953589" cy="511629"/>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35DFC1C-D4DC-48E8-AEE8-899FEFCDECF3}" type="TxLink">
              <a:rPr lang="en-US" sz="1100" b="0" i="0" u="none" strike="noStrike">
                <a:solidFill>
                  <a:srgbClr val="000000"/>
                </a:solidFill>
                <a:latin typeface="Calibri"/>
                <a:ea typeface="Calibri"/>
                <a:cs typeface="Calibri"/>
              </a:rPr>
              <a:pPr algn="l"/>
              <a:t>66.21</a:t>
            </a:fld>
            <a:endParaRPr lang="en-GB" sz="1100"/>
          </a:p>
        </xdr:txBody>
      </xdr:sp>
    </xdr:grpSp>
    <xdr:clientData/>
  </xdr:twoCellAnchor>
  <xdr:twoCellAnchor>
    <xdr:from>
      <xdr:col>11</xdr:col>
      <xdr:colOff>343988</xdr:colOff>
      <xdr:row>4</xdr:row>
      <xdr:rowOff>65314</xdr:rowOff>
    </xdr:from>
    <xdr:to>
      <xdr:col>14</xdr:col>
      <xdr:colOff>591094</xdr:colOff>
      <xdr:row>8</xdr:row>
      <xdr:rowOff>88174</xdr:rowOff>
    </xdr:to>
    <xdr:grpSp>
      <xdr:nvGrpSpPr>
        <xdr:cNvPr id="60" name="Group 59">
          <a:extLst>
            <a:ext uri="{FF2B5EF4-FFF2-40B4-BE49-F238E27FC236}">
              <a16:creationId xmlns:a16="http://schemas.microsoft.com/office/drawing/2014/main" id="{9B233DB1-6440-471D-92E3-8693A3FAA9FF}"/>
            </a:ext>
          </a:extLst>
        </xdr:cNvPr>
        <xdr:cNvGrpSpPr/>
      </xdr:nvGrpSpPr>
      <xdr:grpSpPr>
        <a:xfrm>
          <a:off x="7049588" y="805543"/>
          <a:ext cx="2075906" cy="763088"/>
          <a:chOff x="7049588" y="805543"/>
          <a:chExt cx="2075906" cy="763088"/>
        </a:xfrm>
      </xdr:grpSpPr>
      <xdr:sp macro="" textlink="Analysis!$S$4">
        <xdr:nvSpPr>
          <xdr:cNvPr id="20" name="Rectangle 19">
            <a:extLst>
              <a:ext uri="{FF2B5EF4-FFF2-40B4-BE49-F238E27FC236}">
                <a16:creationId xmlns:a16="http://schemas.microsoft.com/office/drawing/2014/main" id="{B8846EB6-9EBE-499F-B9C3-5FD343DA42CE}"/>
              </a:ext>
            </a:extLst>
          </xdr:cNvPr>
          <xdr:cNvSpPr/>
        </xdr:nvSpPr>
        <xdr:spPr>
          <a:xfrm>
            <a:off x="7049588" y="805543"/>
            <a:ext cx="2075906" cy="763088"/>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Arial Rounded MT Bold" panose="020F0704030504030204" pitchFamily="34" charset="0"/>
                <a:ea typeface="Calibri"/>
                <a:cs typeface="Calibri"/>
              </a:rPr>
              <a:t>BONUS</a:t>
            </a:r>
            <a:r>
              <a:rPr lang="en-US" sz="1200" b="1" i="0" u="none" strike="noStrike" baseline="0">
                <a:solidFill>
                  <a:srgbClr val="000000"/>
                </a:solidFill>
                <a:latin typeface="Arial Rounded MT Bold" panose="020F0704030504030204" pitchFamily="34" charset="0"/>
                <a:ea typeface="Calibri"/>
                <a:cs typeface="Calibri"/>
              </a:rPr>
              <a:t> PAYOUT</a:t>
            </a:r>
            <a:endParaRPr lang="en-US" sz="1200" b="1" i="0" u="none" strike="noStrike">
              <a:solidFill>
                <a:srgbClr val="000000"/>
              </a:solidFill>
              <a:latin typeface="Arial Rounded MT Bold" panose="020F0704030504030204" pitchFamily="34" charset="0"/>
              <a:ea typeface="Calibri"/>
              <a:cs typeface="Calibri"/>
            </a:endParaRPr>
          </a:p>
          <a:p>
            <a:pPr algn="l"/>
            <a:r>
              <a:rPr lang="en-US" sz="1100" b="0" i="0" u="none" strike="noStrike">
                <a:solidFill>
                  <a:srgbClr val="000000"/>
                </a:solidFill>
                <a:latin typeface="Calibri"/>
                <a:ea typeface="Calibri"/>
                <a:cs typeface="Calibri"/>
              </a:rPr>
              <a:t>ACHIEVING</a:t>
            </a:r>
            <a:r>
              <a:rPr lang="en-US" sz="1100" b="0" i="0" u="none" strike="noStrike" baseline="0">
                <a:solidFill>
                  <a:srgbClr val="000000"/>
                </a:solidFill>
                <a:latin typeface="Calibri"/>
                <a:ea typeface="Calibri"/>
                <a:cs typeface="Calibri"/>
              </a:rPr>
              <a:t> P. BAND</a:t>
            </a:r>
            <a:endParaRPr lang="en-US" sz="1100" b="0" i="0" u="none" strike="noStrike">
              <a:solidFill>
                <a:srgbClr val="000000"/>
              </a:solidFill>
              <a:latin typeface="Calibri"/>
              <a:ea typeface="Calibri"/>
              <a:cs typeface="Calibri"/>
            </a:endParaRPr>
          </a:p>
          <a:p>
            <a:pPr algn="l"/>
            <a:fld id="{2D1D7092-3030-4506-B59F-B45FE310437E}" type="TxLink">
              <a:rPr lang="en-US" sz="1100" b="0" i="0" u="none" strike="noStrike">
                <a:solidFill>
                  <a:srgbClr val="000000"/>
                </a:solidFill>
                <a:latin typeface="Calibri"/>
                <a:ea typeface="Calibri"/>
                <a:cs typeface="Calibri"/>
              </a:rPr>
              <a:pPr algn="l"/>
              <a:t>$164,994.31</a:t>
            </a:fld>
            <a:endParaRPr lang="en-GB" sz="1100"/>
          </a:p>
        </xdr:txBody>
      </xdr:sp>
      <xdr:sp macro="" textlink="Analysis!$S$5">
        <xdr:nvSpPr>
          <xdr:cNvPr id="57" name="Oval 56">
            <a:extLst>
              <a:ext uri="{FF2B5EF4-FFF2-40B4-BE49-F238E27FC236}">
                <a16:creationId xmlns:a16="http://schemas.microsoft.com/office/drawing/2014/main" id="{EEF5F452-BB67-4A9C-B94C-FB957BFD930F}"/>
              </a:ext>
            </a:extLst>
          </xdr:cNvPr>
          <xdr:cNvSpPr/>
        </xdr:nvSpPr>
        <xdr:spPr>
          <a:xfrm>
            <a:off x="8127274" y="1055914"/>
            <a:ext cx="953589" cy="511629"/>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5885637-811D-4870-BABA-2B1ADF36D84D}" type="TxLink">
              <a:rPr lang="en-US" sz="1100" b="0" i="0" u="none" strike="noStrike">
                <a:solidFill>
                  <a:srgbClr val="000000"/>
                </a:solidFill>
                <a:latin typeface="Calibri"/>
                <a:ea typeface="Calibri"/>
                <a:cs typeface="Calibri"/>
              </a:rPr>
              <a:pPr algn="l"/>
              <a:t>$84,450.79</a:t>
            </a:fld>
            <a:endParaRPr lang="en-GB"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210.146437152776" createdVersion="3" refreshedVersion="7" minRefreshableVersion="3" recordCount="150" xr:uid="{CB557107-F006-4BEE-8D1A-F5E522664E93}">
  <cacheSource type="worksheet">
    <worksheetSource name="EmployeeData"/>
  </cacheSource>
  <cacheFields count="12">
    <cacheField name="Emp ID" numFmtId="0">
      <sharedItems/>
    </cacheField>
    <cacheField name="Name" numFmtId="0">
      <sharedItems/>
    </cacheField>
    <cacheField name="Dept Code" numFmtId="0">
      <sharedItems/>
    </cacheField>
    <cacheField name="Hire Date" numFmtId="14">
      <sharedItems containsSemiMixedTypes="0" containsNonDate="0" containsDate="1" containsString="0" minDate="2001-09-15T00:00:00" maxDate="2028-07-18T00:00:00"/>
    </cacheField>
    <cacheField name="Salary" numFmtId="166">
      <sharedItems containsSemiMixedTypes="0" containsString="0" containsNumber="1" minValue="45196" maxValue="118947"/>
    </cacheField>
    <cacheField name="Perf_Score" numFmtId="0">
      <sharedItems containsSemiMixedTypes="0" containsString="0" containsNumber="1" containsInteger="1" minValue="30" maxValue="99"/>
    </cacheField>
    <cacheField name="Employment Status2" numFmtId="0">
      <sharedItems/>
    </cacheField>
    <cacheField name="Department Name" numFmtId="0">
      <sharedItems/>
    </cacheField>
    <cacheField name="Years Of Service" numFmtId="1">
      <sharedItems containsSemiMixedTypes="0" containsString="0" containsNumber="1" minValue="1.1388888888888888" maxValue="24.81111111111111"/>
    </cacheField>
    <cacheField name="Performance Band" numFmtId="0">
      <sharedItems count="5">
        <s v="Developing"/>
        <s v="Achieving"/>
        <s v="Needs Improvement"/>
        <s v="Exceeding"/>
        <s v="Outstanding"/>
      </sharedItems>
    </cacheField>
    <cacheField name="Bonus Percent" numFmtId="9">
      <sharedItems containsSemiMixedTypes="0" containsString="0" containsNumber="1" minValue="0" maxValue="0.12"/>
    </cacheField>
    <cacheField name="Bonus Payout" numFmtId="167">
      <sharedItems containsSemiMixedTypes="0" containsString="0" containsNumber="1" minValue="0" maxValue="14273.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210.146437615738" createdVersion="3" refreshedVersion="7" minRefreshableVersion="3" recordCount="150" xr:uid="{25C4B66D-833A-4BDA-A8B3-08C24200D231}">
  <cacheSource type="worksheet">
    <worksheetSource name="EmployeeData"/>
  </cacheSource>
  <cacheFields count="12">
    <cacheField name="Emp ID" numFmtId="0">
      <sharedItems/>
    </cacheField>
    <cacheField name="Name" numFmtId="0">
      <sharedItems/>
    </cacheField>
    <cacheField name="Dept Code" numFmtId="0">
      <sharedItems/>
    </cacheField>
    <cacheField name="Hire Date" numFmtId="14">
      <sharedItems containsSemiMixedTypes="0" containsNonDate="0" containsDate="1" containsString="0" minDate="2001-09-15T00:00:00" maxDate="2028-07-18T00:00:00"/>
    </cacheField>
    <cacheField name="Salary" numFmtId="166">
      <sharedItems containsSemiMixedTypes="0" containsString="0" containsNumber="1" minValue="45196" maxValue="118947"/>
    </cacheField>
    <cacheField name="Perf_Score" numFmtId="0">
      <sharedItems containsSemiMixedTypes="0" containsString="0" containsNumber="1" containsInteger="1" minValue="30" maxValue="99"/>
    </cacheField>
    <cacheField name="Employment Status2" numFmtId="0">
      <sharedItems/>
    </cacheField>
    <cacheField name="Department Name" numFmtId="0">
      <sharedItems/>
    </cacheField>
    <cacheField name="Years Of Service" numFmtId="1">
      <sharedItems containsSemiMixedTypes="0" containsString="0" containsNumber="1" minValue="1.1388888888888888" maxValue="24.81111111111111"/>
    </cacheField>
    <cacheField name="Performance Band" numFmtId="0">
      <sharedItems count="5">
        <s v="Developing"/>
        <s v="Achieving"/>
        <s v="Needs Improvement"/>
        <s v="Exceeding"/>
        <s v="Outstanding"/>
      </sharedItems>
    </cacheField>
    <cacheField name="Bonus Percent" numFmtId="9">
      <sharedItems containsSemiMixedTypes="0" containsString="0" containsNumber="1" minValue="0" maxValue="0.12"/>
    </cacheField>
    <cacheField name="Bonus Payout" numFmtId="167">
      <sharedItems containsSemiMixedTypes="0" containsString="0" containsNumber="1" minValue="0" maxValue="14273.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210.146437847223" createdVersion="3" refreshedVersion="7" minRefreshableVersion="3" recordCount="150" xr:uid="{0863A780-A2FC-4F7A-85BA-98E1CDE8A6AD}">
  <cacheSource type="worksheet">
    <worksheetSource name="EmployeeData"/>
  </cacheSource>
  <cacheFields count="12">
    <cacheField name="Emp ID" numFmtId="0">
      <sharedItems/>
    </cacheField>
    <cacheField name="Name" numFmtId="0">
      <sharedItems/>
    </cacheField>
    <cacheField name="Dept Code" numFmtId="0">
      <sharedItems/>
    </cacheField>
    <cacheField name="Hire Date" numFmtId="14">
      <sharedItems containsSemiMixedTypes="0" containsNonDate="0" containsDate="1" containsString="0" minDate="2001-09-15T00:00:00" maxDate="2028-07-18T00:00:00"/>
    </cacheField>
    <cacheField name="Salary" numFmtId="166">
      <sharedItems containsSemiMixedTypes="0" containsString="0" containsNumber="1" minValue="45196" maxValue="118947"/>
    </cacheField>
    <cacheField name="Perf_Score" numFmtId="0">
      <sharedItems containsSemiMixedTypes="0" containsString="0" containsNumber="1" containsInteger="1" minValue="30" maxValue="99"/>
    </cacheField>
    <cacheField name="Employment Status2" numFmtId="0">
      <sharedItems count="3">
        <s v="Active"/>
        <s v="Left"/>
        <s v="Resigned"/>
      </sharedItems>
    </cacheField>
    <cacheField name="Department Name" numFmtId="0">
      <sharedItems count="6">
        <s v="Information Technology"/>
        <s v="Marketing"/>
        <s v="Finance"/>
        <s v="Operations"/>
        <s v="Sales"/>
        <s v="Human Resources"/>
      </sharedItems>
    </cacheField>
    <cacheField name="Years Of Service" numFmtId="1">
      <sharedItems containsSemiMixedTypes="0" containsString="0" containsNumber="1" minValue="1.1388888888888888" maxValue="24.81111111111111"/>
    </cacheField>
    <cacheField name="Performance Band" numFmtId="0">
      <sharedItems count="5">
        <s v="Developing"/>
        <s v="Achieving"/>
        <s v="Needs Improvement"/>
        <s v="Exceeding"/>
        <s v="Outstanding"/>
      </sharedItems>
    </cacheField>
    <cacheField name="Bonus Percent" numFmtId="9">
      <sharedItems containsSemiMixedTypes="0" containsString="0" containsNumber="1" minValue="0" maxValue="0.12"/>
    </cacheField>
    <cacheField name="Bonus Payout" numFmtId="167">
      <sharedItems containsSemiMixedTypes="0" containsString="0" containsNumber="1" minValue="0" maxValue="14273.64"/>
    </cacheField>
  </cacheFields>
  <extLst>
    <ext xmlns:x14="http://schemas.microsoft.com/office/spreadsheetml/2009/9/main" uri="{725AE2AE-9491-48be-B2B4-4EB974FC3084}">
      <x14:pivotCacheDefinition pivotCacheId="108935963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210.146440625002" createdVersion="7" refreshedVersion="7" minRefreshableVersion="3" recordCount="151" xr:uid="{65BD34C9-0F13-4E77-8855-BF917B9ED14E}">
  <cacheSource type="worksheet">
    <worksheetSource ref="A1:J1048576" sheet="Raw_Employee_Data"/>
  </cacheSource>
  <cacheFields count="10">
    <cacheField name="Emp ID" numFmtId="0">
      <sharedItems containsBlank="1"/>
    </cacheField>
    <cacheField name="Name" numFmtId="0">
      <sharedItems containsBlank="1"/>
    </cacheField>
    <cacheField name="Dept Code" numFmtId="0">
      <sharedItems containsBlank="1" count="7">
        <s v="IT02"/>
        <s v="MKT04"/>
        <s v="FIN03"/>
        <s v="OPS06"/>
        <s v="SAL05"/>
        <s v="HR01"/>
        <m/>
      </sharedItems>
    </cacheField>
    <cacheField name="Hire Date" numFmtId="0">
      <sharedItems containsNonDate="0" containsDate="1" containsString="0" containsBlank="1" minDate="2001-09-15T00:00:00" maxDate="2028-07-18T00:00:00" count="147">
        <d v="2017-12-24T00:00:00"/>
        <d v="2022-08-04T00:00:00"/>
        <d v="2016-02-03T00:00:00"/>
        <d v="2023-03-07T00:00:00"/>
        <d v="2023-02-20T00:00:00"/>
        <d v="2020-02-03T00:00:00"/>
        <d v="2023-12-12T00:00:00"/>
        <d v="2020-09-12T00:00:00"/>
        <d v="2018-07-01T00:00:00"/>
        <d v="2016-02-11T00:00:00"/>
        <d v="2020-03-21T00:00:00"/>
        <d v="2016-02-25T00:00:00"/>
        <d v="2017-06-21T00:00:00"/>
        <d v="2020-06-19T00:00:00"/>
        <d v="2019-12-21T00:00:00"/>
        <d v="2023-08-31T00:00:00"/>
        <d v="2015-11-29T00:00:00"/>
        <d v="2017-06-13T00:00:00"/>
        <d v="2018-05-15T00:00:00"/>
        <d v="2016-07-24T00:00:00"/>
        <d v="2017-07-12T00:00:00"/>
        <d v="2021-06-06T00:00:00"/>
        <d v="2022-11-09T00:00:00"/>
        <d v="2016-07-14T00:00:00"/>
        <d v="2022-06-16T00:00:00"/>
        <d v="2023-07-27T00:00:00"/>
        <d v="2019-09-24T00:00:00"/>
        <d v="2022-07-23T00:00:00"/>
        <d v="2013-05-18T00:00:00"/>
        <d v="2015-07-17T00:00:00"/>
        <d v="2005-08-15T00:00:00"/>
        <d v="2023-09-26T00:00:00"/>
        <d v="2010-06-19T00:00:00"/>
        <d v="2022-01-17T00:00:00"/>
        <d v="2003-07-17T00:00:00"/>
        <d v="2001-09-15T00:00:00"/>
        <d v="2003-08-22T00:00:00"/>
        <d v="2022-06-29T00:00:00"/>
        <d v="2020-04-28T00:00:00"/>
        <d v="2017-09-09T00:00:00"/>
        <d v="2018-03-22T00:00:00"/>
        <d v="2020-07-05T00:00:00"/>
        <d v="2019-03-25T00:00:00"/>
        <d v="2019-09-08T00:00:00"/>
        <d v="2016-04-10T00:00:00"/>
        <d v="2010-07-19T00:00:00"/>
        <d v="2021-08-29T00:00:00"/>
        <d v="2017-01-26T00:00:00"/>
        <d v="2020-05-30T00:00:00"/>
        <d v="2022-02-20T00:00:00"/>
        <d v="2016-09-15T00:00:00"/>
        <d v="2019-10-07T00:00:00"/>
        <d v="2018-12-30T00:00:00"/>
        <d v="2020-12-24T00:00:00"/>
        <d v="2023-05-07T00:00:00"/>
        <d v="2020-11-13T00:00:00"/>
        <d v="2018-02-07T00:00:00"/>
        <d v="2023-11-25T00:00:00"/>
        <d v="2023-10-18T00:00:00"/>
        <d v="2020-05-09T00:00:00"/>
        <d v="2017-06-03T00:00:00"/>
        <d v="2015-04-28T00:00:00"/>
        <d v="2017-04-13T00:00:00"/>
        <d v="2022-09-23T00:00:00"/>
        <d v="2016-11-11T00:00:00"/>
        <d v="2024-03-17T00:00:00"/>
        <d v="2005-05-19T00:00:00"/>
        <d v="2021-07-25T00:00:00"/>
        <d v="2017-09-30T00:00:00"/>
        <d v="2015-07-07T00:00:00"/>
        <d v="2022-09-15T00:00:00"/>
        <d v="2015-02-09T00:00:00"/>
        <d v="2011-10-16T00:00:00"/>
        <d v="2019-04-20T00:00:00"/>
        <d v="2017-02-19T00:00:00"/>
        <d v="2021-09-07T00:00:00"/>
        <d v="2019-05-14T00:00:00"/>
        <d v="2015-11-22T00:00:00"/>
        <d v="2018-09-29T00:00:00"/>
        <d v="2023-02-09T00:00:00"/>
        <d v="2022-07-17T00:00:00"/>
        <d v="2007-02-21T00:00:00"/>
        <d v="2023-10-04T00:00:00"/>
        <d v="2020-08-30T00:00:00"/>
        <d v="2021-08-14T00:00:00"/>
        <d v="2027-11-19T00:00:00"/>
        <d v="2025-05-17T00:00:00"/>
        <d v="2018-02-12T00:00:00"/>
        <d v="2019-06-23T00:00:00"/>
        <d v="2015-10-27T00:00:00"/>
        <d v="2018-06-19T00:00:00"/>
        <d v="2018-12-01T00:00:00"/>
        <d v="2015-04-01T00:00:00"/>
        <d v="2018-05-12T00:00:00"/>
        <d v="2021-10-13T00:00:00"/>
        <d v="2020-07-09T00:00:00"/>
        <d v="2019-03-08T00:00:00"/>
        <d v="2011-03-15T00:00:00"/>
        <d v="2019-02-17T00:00:00"/>
        <d v="2023-09-05T00:00:00"/>
        <d v="2018-01-22T00:00:00"/>
        <d v="2020-02-18T00:00:00"/>
        <d v="2016-05-22T00:00:00"/>
        <d v="2021-02-06T00:00:00"/>
        <d v="2021-07-17T00:00:00"/>
        <d v="2013-11-16T00:00:00"/>
        <d v="2016-12-09T00:00:00"/>
        <d v="2013-08-21T00:00:00"/>
        <d v="2020-06-14T00:00:00"/>
        <d v="2005-07-22T00:00:00"/>
        <d v="2016-07-10T00:00:00"/>
        <d v="2022-04-23T00:00:00"/>
        <d v="2017-05-10T00:00:00"/>
        <d v="2020-05-20T00:00:00"/>
        <d v="2023-04-20T00:00:00"/>
        <d v="2021-10-31T00:00:00"/>
        <d v="2024-10-21T00:00:00"/>
        <d v="2017-09-08T00:00:00"/>
        <d v="2023-04-01T00:00:00"/>
        <d v="2010-08-20T00:00:00"/>
        <d v="2022-02-04T00:00:00"/>
        <d v="2024-03-18T00:00:00"/>
        <d v="2018-07-24T00:00:00"/>
        <d v="2018-07-20T00:00:00"/>
        <d v="2004-03-16T00:00:00"/>
        <d v="2022-03-23T00:00:00"/>
        <d v="2028-07-17T00:00:00"/>
        <d v="2023-05-11T00:00:00"/>
        <d v="2019-03-22T00:00:00"/>
        <d v="2017-12-22T00:00:00"/>
        <d v="2018-09-17T00:00:00"/>
        <d v="2021-06-28T00:00:00"/>
        <d v="2003-10-17T00:00:00"/>
        <d v="2015-10-22T00:00:00"/>
        <d v="2018-06-06T00:00:00"/>
        <d v="2017-07-16T00:00:00"/>
        <d v="2015-06-20T00:00:00"/>
        <d v="2019-05-24T00:00:00"/>
        <d v="2020-02-26T00:00:00"/>
        <d v="2023-06-03T00:00:00"/>
        <d v="2019-01-12T00:00:00"/>
        <d v="2023-04-21T00:00:00"/>
        <d v="2016-05-29T00:00:00"/>
        <d v="2022-05-30T00:00:00"/>
        <d v="2003-11-16T00:00:00"/>
        <d v="2022-10-14T00:00:00"/>
        <m/>
      </sharedItems>
    </cacheField>
    <cacheField name="Salary" numFmtId="0">
      <sharedItems containsString="0" containsBlank="1" containsNumber="1" minValue="45196" maxValue="118947"/>
    </cacheField>
    <cacheField name="Perf_Score" numFmtId="0">
      <sharedItems containsString="0" containsBlank="1" containsNumber="1" containsInteger="1" minValue="30" maxValue="99"/>
    </cacheField>
    <cacheField name="Employment Status2" numFmtId="0">
      <sharedItems containsBlank="1" count="4">
        <s v="Active"/>
        <s v="Left"/>
        <s v="Resigned"/>
        <m/>
      </sharedItems>
    </cacheField>
    <cacheField name="Department Name" numFmtId="0">
      <sharedItems containsBlank="1" count="7">
        <s v="Information Technology"/>
        <s v="Marketing"/>
        <s v="Finance"/>
        <s v="Operations"/>
        <s v="Sales"/>
        <s v="Human Resources"/>
        <m/>
      </sharedItems>
    </cacheField>
    <cacheField name="Years Of Service" numFmtId="0">
      <sharedItems containsString="0" containsBlank="1" containsNumber="1" minValue="1.1388888888888888" maxValue="24.81111111111111" count="147">
        <n v="8.5361111111111114"/>
        <n v="3.9249999999999998"/>
        <n v="10.427777777777777"/>
        <n v="3.3333333333333335"/>
        <n v="3.3805555555555555"/>
        <n v="6.427777777777778"/>
        <n v="2.5694444444444446"/>
        <n v="5.8194444444444446"/>
        <n v="8.0166666666666675"/>
        <n v="10.405555555555555"/>
        <n v="6.2944444444444443"/>
        <n v="10.366666666666667"/>
        <n v="9.0444444444444443"/>
        <n v="6.05"/>
        <n v="6.5444444444444443"/>
        <n v="2.8527777777777779"/>
        <n v="10.605555555555556"/>
        <n v="9.0666666666666664"/>
        <n v="8.1444444444444439"/>
        <n v="9.9527777777777775"/>
        <n v="8.9861111111111107"/>
        <n v="5.0861111111111112"/>
        <n v="3.661111111111111"/>
        <n v="9.9805555555555561"/>
        <n v="4.0583333333333336"/>
        <n v="2.9444444444444446"/>
        <n v="6.7861111111111114"/>
        <n v="3.9555555555555557"/>
        <n v="13.136111111111111"/>
        <n v="10.972222222222221"/>
        <n v="20.894444444444446"/>
        <n v="2.7805555555555554"/>
        <n v="16.05"/>
        <n v="4.4722222222222223"/>
        <n v="22.972222222222221"/>
        <n v="24.81111111111111"/>
        <n v="22.875"/>
        <n v="4.0222222222222221"/>
        <n v="6.1916666666666664"/>
        <n v="8.8277777777777775"/>
        <n v="8.2916666666666661"/>
        <n v="6.0055555555555555"/>
        <n v="7.2833333333333332"/>
        <n v="6.8305555555555557"/>
        <n v="10.241666666666667"/>
        <n v="15.966666666666667"/>
        <n v="4.8555555555555552"/>
        <n v="9.4472222222222229"/>
        <n v="6.1027777777777779"/>
        <n v="4.3805555555555555"/>
        <n v="9.8111111111111118"/>
        <n v="6.75"/>
        <n v="7.5194444444444448"/>
        <n v="5.5361111111111114"/>
        <n v="3.1666666666666665"/>
        <n v="5.65"/>
        <n v="8.4166666666666661"/>
        <n v="2.6166666666666667"/>
        <n v="2.7194444444444446"/>
        <n v="6.1611111111111114"/>
        <n v="9.094444444444445"/>
        <n v="11.191666666666666"/>
        <n v="9.2333333333333325"/>
        <n v="3.7888888888888888"/>
        <n v="9.655555555555555"/>
        <n v="2.3055555555555554"/>
        <n v="21.133333333333333"/>
        <n v="4.95"/>
        <n v="8.7694444444444439"/>
        <n v="11"/>
        <n v="3.8111111111111109"/>
        <n v="11.411111111111111"/>
        <n v="14.725"/>
        <n v="7.2138888888888886"/>
        <n v="9.3833333333333329"/>
        <n v="4.833333333333333"/>
        <n v="7.1472222222222221"/>
        <n v="10.625"/>
        <n v="7.7722222222222221"/>
        <n v="3.411111111111111"/>
        <n v="3.9722222222222223"/>
        <n v="19.377777777777776"/>
        <n v="2.7583333333333333"/>
        <n v="5.8527777777777779"/>
        <n v="4.8972222222222221"/>
        <n v="1.3666666666666667"/>
        <n v="1.1388888888888888"/>
        <n v="8.4027777777777786"/>
        <n v="7.0388888888888888"/>
        <n v="10.694444444444445"/>
        <n v="8.0500000000000007"/>
        <n v="7.6"/>
        <n v="11.266666666666667"/>
        <n v="8.1527777777777786"/>
        <n v="4.7333333333333334"/>
        <n v="5.9944444444444445"/>
        <n v="7.3305555555555557"/>
        <n v="15.311111111111112"/>
        <n v="7.3888888888888893"/>
        <n v="2.838888888888889"/>
        <n v="8.4583333333333339"/>
        <n v="6.3861111111111111"/>
        <n v="10.125"/>
        <n v="5.4194444444444443"/>
        <n v="4.9722222222222223"/>
        <n v="12.641666666666667"/>
        <n v="9.5777777777777775"/>
        <n v="12.877777777777778"/>
        <n v="6.0638888888888891"/>
        <n v="20.958333333333332"/>
        <n v="9.9916666666666671"/>
        <n v="4.2055555555555557"/>
        <n v="9.1583333333333332"/>
        <n v="6.1305555555555555"/>
        <n v="3.213888888888889"/>
        <n v="4.6861111111111109"/>
        <n v="1.711111111111111"/>
        <n v="8.8305555555555557"/>
        <n v="3.2666666666666666"/>
        <n v="15.880555555555556"/>
        <n v="4.4249999999999998"/>
        <n v="2.3027777777777776"/>
        <n v="7.9527777777777775"/>
        <n v="7.9638888888888886"/>
        <n v="22.308333333333334"/>
        <n v="4.2888888888888888"/>
        <n v="2.0277777777777777"/>
        <n v="3.1555555555555554"/>
        <n v="7.291666666666667"/>
        <n v="8.5416666666666661"/>
        <n v="7.8055555555555554"/>
        <n v="5.0250000000000004"/>
        <n v="22.722222222222221"/>
        <n v="10.708333333333334"/>
        <n v="8.0861111111111104"/>
        <n v="8.9749999999999996"/>
        <n v="11.047222222222222"/>
        <n v="7.1194444444444445"/>
        <n v="6.3638888888888889"/>
        <n v="3.0944444444444446"/>
        <n v="7.4861111111111107"/>
        <n v="3.2111111111111112"/>
        <n v="10.105555555555556"/>
        <n v="4.1027777777777779"/>
        <n v="22.641666666666666"/>
        <n v="3.7305555555555556"/>
        <m/>
      </sharedItems>
    </cacheField>
    <cacheField name="Performance Band" numFmtId="0">
      <sharedItems containsBlank="1" count="6">
        <s v="Developing"/>
        <s v="Achieving"/>
        <s v="Needs Improvement"/>
        <s v="Exceeding"/>
        <s v="Outstanding"/>
        <m/>
      </sharedItems>
    </cacheField>
  </cacheFields>
  <extLst>
    <ext xmlns:x14="http://schemas.microsoft.com/office/spreadsheetml/2009/9/main" uri="{725AE2AE-9491-48be-B2B4-4EB974FC3084}">
      <x14:pivotCacheDefinition pivotCacheId="38177927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210.146441435187" createdVersion="7" refreshedVersion="7" minRefreshableVersion="3" recordCount="151" xr:uid="{7E2B49D4-D375-4D20-9F05-58E5484EF0D8}">
  <cacheSource type="worksheet">
    <worksheetSource ref="A1:L1048576" sheet="Raw_Employee_Data"/>
  </cacheSource>
  <cacheFields count="12">
    <cacheField name="Emp ID" numFmtId="0">
      <sharedItems containsBlank="1"/>
    </cacheField>
    <cacheField name="Name" numFmtId="0">
      <sharedItems containsBlank="1"/>
    </cacheField>
    <cacheField name="Dept Code" numFmtId="0">
      <sharedItems containsBlank="1"/>
    </cacheField>
    <cacheField name="Hire Date" numFmtId="0">
      <sharedItems containsNonDate="0" containsDate="1" containsString="0" containsBlank="1" minDate="2001-09-15T00:00:00" maxDate="2028-07-18T00:00:00"/>
    </cacheField>
    <cacheField name="Salary" numFmtId="0">
      <sharedItems containsString="0" containsBlank="1" containsNumber="1" minValue="45196" maxValue="118947"/>
    </cacheField>
    <cacheField name="Perf_Score" numFmtId="0">
      <sharedItems containsString="0" containsBlank="1" containsNumber="1" containsInteger="1" minValue="30" maxValue="99"/>
    </cacheField>
    <cacheField name="Employment Status2" numFmtId="0">
      <sharedItems containsBlank="1"/>
    </cacheField>
    <cacheField name="Department Name" numFmtId="0">
      <sharedItems containsBlank="1"/>
    </cacheField>
    <cacheField name="Years Of Service" numFmtId="0">
      <sharedItems containsString="0" containsBlank="1" containsNumber="1" minValue="1.1388888888888888" maxValue="24.81111111111111"/>
    </cacheField>
    <cacheField name="Performance Band" numFmtId="0">
      <sharedItems containsBlank="1" count="6">
        <s v="Developing"/>
        <s v="Achieving"/>
        <s v="Needs Improvement"/>
        <s v="Exceeding"/>
        <s v="Outstanding"/>
        <m/>
      </sharedItems>
    </cacheField>
    <cacheField name="Bonus Percent" numFmtId="0">
      <sharedItems containsString="0" containsBlank="1" containsNumber="1" minValue="0" maxValue="0.12"/>
    </cacheField>
    <cacheField name="Bonus Payout" numFmtId="0">
      <sharedItems containsString="0" containsBlank="1" containsNumber="1" minValue="0" maxValue="14273.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Brown"/>
    <s v="IT02"/>
    <d v="2017-12-24T00:00:00"/>
    <n v="50361"/>
    <n v="52"/>
    <s v="Active"/>
    <s v="Information Technology"/>
    <n v="8.5361111111111114"/>
    <x v="0"/>
    <n v="0.02"/>
    <n v="1007.22"/>
  </r>
  <r>
    <s v="EMP046"/>
    <s v="Richard Hernandez"/>
    <s v="MKT04"/>
    <d v="2022-08-04T00:00:00"/>
    <n v="112673"/>
    <n v="68"/>
    <s v="Active"/>
    <s v="Marketing"/>
    <n v="3.9249999999999998"/>
    <x v="0"/>
    <n v="0.02"/>
    <n v="2253.46"/>
  </r>
  <r>
    <s v="EMP134"/>
    <s v="Emily Gonzalez"/>
    <s v="IT02"/>
    <d v="2016-02-03T00:00:00"/>
    <n v="114425"/>
    <n v="54"/>
    <s v="Left"/>
    <s v="Information Technology"/>
    <n v="10.427777777777777"/>
    <x v="0"/>
    <n v="0.02"/>
    <n v="2288.5"/>
  </r>
  <r>
    <s v="EMP139"/>
    <s v="John Martinez"/>
    <s v="FIN03"/>
    <d v="2023-03-07T00:00:00"/>
    <n v="103831"/>
    <n v="70"/>
    <s v="Active"/>
    <s v="Finance"/>
    <n v="3.3333333333333335"/>
    <x v="1"/>
    <n v="0.05"/>
    <n v="5191.55"/>
  </r>
  <r>
    <s v="EMP112"/>
    <s v="Thomas Smith"/>
    <s v="IT02"/>
    <d v="2023-02-20T00:00:00"/>
    <n v="73785"/>
    <n v="40"/>
    <s v="Left"/>
    <s v="Information Technology"/>
    <n v="3.3805555555555555"/>
    <x v="2"/>
    <n v="0"/>
    <n v="0"/>
  </r>
  <r>
    <s v="EMP030"/>
    <s v="Emily Johnson"/>
    <s v="OPS06"/>
    <d v="2020-02-03T00:00:00"/>
    <n v="115882"/>
    <n v="49"/>
    <s v="Active"/>
    <s v="Operations"/>
    <n v="6.427777777777778"/>
    <x v="2"/>
    <n v="0"/>
    <n v="0"/>
  </r>
  <r>
    <s v="EMP096"/>
    <s v="John Wilson"/>
    <s v="OPS06"/>
    <d v="2023-12-12T00:00:00"/>
    <n v="59980"/>
    <n v="70"/>
    <s v="Left"/>
    <s v="Operations"/>
    <n v="2.5694444444444446"/>
    <x v="1"/>
    <n v="0.05"/>
    <n v="2999"/>
  </r>
  <r>
    <s v="EMP098"/>
    <s v="Jessica Smith"/>
    <s v="OPS06"/>
    <d v="2020-09-12T00:00:00"/>
    <n v="68728"/>
    <n v="45"/>
    <s v="Active"/>
    <s v="Operations"/>
    <n v="5.8194444444444446"/>
    <x v="2"/>
    <n v="0"/>
    <n v="0"/>
  </r>
  <r>
    <s v="EMP095"/>
    <s v="Rodriguez"/>
    <s v="FIN03"/>
    <d v="2018-07-01T00:00:00"/>
    <n v="102139"/>
    <n v="79"/>
    <s v="Active"/>
    <s v="Finance"/>
    <n v="8.0166666666666675"/>
    <x v="1"/>
    <n v="0.05"/>
    <n v="5106.9500000000007"/>
  </r>
  <r>
    <s v="EMP140"/>
    <s v="Michael Martinez"/>
    <s v="SAL05"/>
    <d v="2016-02-11T00:00:00"/>
    <n v="94998"/>
    <n v="58"/>
    <s v="Active"/>
    <s v="Sales"/>
    <n v="10.405555555555555"/>
    <x v="0"/>
    <n v="0.02"/>
    <n v="1899.96"/>
  </r>
  <r>
    <s v="EMP020"/>
    <s v="Emily Miller"/>
    <s v="SAL05"/>
    <d v="2020-03-21T00:00:00"/>
    <n v="118635"/>
    <n v="49"/>
    <s v="Active"/>
    <s v="Sales"/>
    <n v="6.2944444444444443"/>
    <x v="2"/>
    <n v="0"/>
    <n v="0"/>
  </r>
  <r>
    <s v="EMP057"/>
    <s v="Emily Hernandez"/>
    <s v="IT02"/>
    <d v="2016-02-25T00:00:00"/>
    <n v="76918"/>
    <n v="62"/>
    <s v="Active"/>
    <s v="Information Technology"/>
    <n v="10.366666666666667"/>
    <x v="0"/>
    <n v="0.02"/>
    <n v="1538.3600000000001"/>
  </r>
  <r>
    <s v="EMP016"/>
    <s v="Jane Williams"/>
    <s v="MKT04"/>
    <d v="2017-06-21T00:00:00"/>
    <n v="61408"/>
    <n v="48"/>
    <s v="Active"/>
    <s v="Marketing"/>
    <n v="9.0444444444444443"/>
    <x v="2"/>
    <n v="0"/>
    <n v="0"/>
  </r>
  <r>
    <s v="EMP070"/>
    <s v="Jane Miller"/>
    <s v="MKT04"/>
    <d v="2020-06-19T00:00:00"/>
    <n v="99990"/>
    <n v="54"/>
    <s v="Active"/>
    <s v="Marketing"/>
    <n v="6.05"/>
    <x v="0"/>
    <n v="0.02"/>
    <n v="1999.8"/>
  </r>
  <r>
    <s v="EMP025"/>
    <s v="Robert Jones"/>
    <s v="MKT04"/>
    <d v="2019-12-21T00:00:00"/>
    <n v="80385"/>
    <n v="68"/>
    <s v="Active"/>
    <s v="Marketing"/>
    <n v="6.5444444444444443"/>
    <x v="0"/>
    <n v="0.02"/>
    <n v="1607.7"/>
  </r>
  <r>
    <s v="EMP031"/>
    <s v="Thomas Rodriguez"/>
    <s v="SAL05"/>
    <d v="2023-08-31T00:00:00"/>
    <n v="65290"/>
    <n v="77"/>
    <s v="Active"/>
    <s v="Sales"/>
    <n v="2.8527777777777779"/>
    <x v="1"/>
    <n v="0.05"/>
    <n v="3264.5"/>
  </r>
  <r>
    <s v="EMP126"/>
    <s v="Emily Davis"/>
    <s v="IT02"/>
    <d v="2015-11-29T00:00:00"/>
    <n v="105765"/>
    <n v="42"/>
    <s v="Active"/>
    <s v="Information Technology"/>
    <n v="10.605555555555556"/>
    <x v="2"/>
    <n v="0"/>
    <n v="0"/>
  </r>
  <r>
    <s v="EMP109"/>
    <s v="James Martinez"/>
    <s v="SAL05"/>
    <d v="2017-06-13T00:00:00"/>
    <n v="102921"/>
    <n v="49"/>
    <s v="Active"/>
    <s v="Sales"/>
    <n v="9.0666666666666664"/>
    <x v="2"/>
    <n v="0"/>
    <n v="0"/>
  </r>
  <r>
    <s v="EMP066"/>
    <s v="Ashley Lopez"/>
    <s v="MKT04"/>
    <d v="2018-05-15T00:00:00"/>
    <n v="73984"/>
    <n v="93"/>
    <s v="Active"/>
    <s v="Marketing"/>
    <n v="8.1444444444444439"/>
    <x v="3"/>
    <n v="0.08"/>
    <n v="5918.72"/>
  </r>
  <r>
    <s v="EMP120"/>
    <s v="Amanda Gonzalez"/>
    <s v="IT02"/>
    <d v="2016-07-24T00:00:00"/>
    <n v="82713.428571428594"/>
    <n v="75"/>
    <s v="Active"/>
    <s v="Information Technology"/>
    <n v="9.9527777777777775"/>
    <x v="1"/>
    <n v="0.05"/>
    <n v="4135.6714285714297"/>
  </r>
  <r>
    <s v="EMP019"/>
    <s v="Michael Hernandez"/>
    <s v="FIN03"/>
    <d v="2017-07-12T00:00:00"/>
    <n v="118527"/>
    <n v="50"/>
    <s v="Active"/>
    <s v="Finance"/>
    <n v="8.9861111111111107"/>
    <x v="0"/>
    <n v="0.02"/>
    <n v="2370.54"/>
  </r>
  <r>
    <s v="EMP013"/>
    <s v="Richard Hernandez"/>
    <s v="MKT04"/>
    <d v="2021-06-06T00:00:00"/>
    <n v="107871"/>
    <n v="88"/>
    <s v="Active"/>
    <s v="Marketing"/>
    <n v="5.0861111111111112"/>
    <x v="3"/>
    <n v="0.08"/>
    <n v="8629.68"/>
  </r>
  <r>
    <s v="EMP010"/>
    <s v="Michael Rodriguez"/>
    <s v="IT02"/>
    <d v="2022-11-09T00:00:00"/>
    <n v="93956"/>
    <n v="50"/>
    <s v="Left"/>
    <s v="Information Technology"/>
    <n v="3.661111111111111"/>
    <x v="0"/>
    <n v="0.02"/>
    <n v="1879.1200000000001"/>
  </r>
  <r>
    <s v="EMP032"/>
    <s v="Jessica Johnson"/>
    <s v="FIN03"/>
    <d v="2016-07-14T00:00:00"/>
    <n v="100851"/>
    <n v="64"/>
    <s v="Active"/>
    <s v="Finance"/>
    <n v="9.9805555555555561"/>
    <x v="0"/>
    <n v="0.02"/>
    <n v="2017.02"/>
  </r>
  <r>
    <s v="EMP082"/>
    <s v="Ashley Williams"/>
    <s v="SAL05"/>
    <d v="2022-06-16T00:00:00"/>
    <n v="68655"/>
    <n v="32"/>
    <s v="Active"/>
    <s v="Sales"/>
    <n v="4.0583333333333336"/>
    <x v="2"/>
    <n v="0"/>
    <n v="0"/>
  </r>
  <r>
    <s v="EMP052"/>
    <s v="Williams"/>
    <s v="SAL05"/>
    <d v="2023-07-27T00:00:00"/>
    <n v="81205"/>
    <n v="59"/>
    <s v="Active"/>
    <s v="Sales"/>
    <n v="2.9444444444444446"/>
    <x v="0"/>
    <n v="0.02"/>
    <n v="1624.1000000000001"/>
  </r>
  <r>
    <s v="EMP129"/>
    <s v="John Wilson"/>
    <s v="SAL05"/>
    <d v="2019-09-24T00:00:00"/>
    <n v="77610"/>
    <n v="88"/>
    <s v="Active"/>
    <s v="Sales"/>
    <n v="6.7861111111111114"/>
    <x v="3"/>
    <n v="0.08"/>
    <n v="6208.8"/>
  </r>
  <r>
    <s v="EMP146"/>
    <s v="Thomas Rodriguez"/>
    <s v="IT02"/>
    <d v="2022-07-23T00:00:00"/>
    <n v="50873"/>
    <n v="90"/>
    <s v="Active"/>
    <s v="Information Technology"/>
    <n v="3.9555555555555557"/>
    <x v="3"/>
    <n v="0.08"/>
    <n v="4069.84"/>
  </r>
  <r>
    <s v="EMP099"/>
    <s v="Michael Wilson"/>
    <s v="FIN03"/>
    <d v="2013-05-18T00:00:00"/>
    <n v="85312"/>
    <n v="66"/>
    <s v="Active"/>
    <s v="Finance"/>
    <n v="13.136111111111111"/>
    <x v="0"/>
    <n v="0.02"/>
    <n v="1706.24"/>
  </r>
  <r>
    <s v="EMP015"/>
    <s v="John Rodriguez"/>
    <s v="SAL05"/>
    <d v="2015-07-17T00:00:00"/>
    <n v="82713.428571428594"/>
    <n v="68"/>
    <s v="Active"/>
    <s v="Sales"/>
    <n v="10.972222222222221"/>
    <x v="0"/>
    <n v="0.02"/>
    <n v="1654.2685714285719"/>
  </r>
  <r>
    <s v="EMP076"/>
    <s v="Thomas Hernandez"/>
    <s v="OPS06"/>
    <d v="2005-08-15T00:00:00"/>
    <n v="97055"/>
    <n v="80"/>
    <s v="Active"/>
    <s v="Operations"/>
    <n v="20.894444444444446"/>
    <x v="1"/>
    <n v="0.05"/>
    <n v="4852.75"/>
  </r>
  <r>
    <s v="EMP137"/>
    <s v="Michael Johnson"/>
    <s v="IT02"/>
    <d v="2023-09-26T00:00:00"/>
    <n v="66069"/>
    <n v="72"/>
    <s v="Active"/>
    <s v="Information Technology"/>
    <n v="2.7805555555555554"/>
    <x v="1"/>
    <n v="0.05"/>
    <n v="3303.4500000000003"/>
  </r>
  <r>
    <s v="EMP056"/>
    <s v="Sarah Brown"/>
    <s v="IT02"/>
    <d v="2010-06-19T00:00:00"/>
    <n v="90157"/>
    <n v="58"/>
    <s v="Active"/>
    <s v="Information Technology"/>
    <n v="16.05"/>
    <x v="0"/>
    <n v="0.02"/>
    <n v="1803.14"/>
  </r>
  <r>
    <s v="EMP125"/>
    <s v="Jane Martinez"/>
    <s v="HR01"/>
    <d v="2022-01-17T00:00:00"/>
    <n v="59899"/>
    <n v="78"/>
    <s v="Active"/>
    <s v="Human Resources"/>
    <n v="4.4722222222222223"/>
    <x v="1"/>
    <n v="0.05"/>
    <n v="2994.9500000000003"/>
  </r>
  <r>
    <s v="EMP085"/>
    <s v="Emily Jones"/>
    <s v="FIN03"/>
    <d v="2003-07-17T00:00:00"/>
    <n v="113389"/>
    <n v="30"/>
    <s v="Active"/>
    <s v="Finance"/>
    <n v="22.972222222222221"/>
    <x v="2"/>
    <n v="0"/>
    <n v="0"/>
  </r>
  <r>
    <s v="EMP106"/>
    <s v="Brown"/>
    <s v="IT02"/>
    <d v="2001-09-15T00:00:00"/>
    <n v="102691"/>
    <n v="52"/>
    <s v="Active"/>
    <s v="Information Technology"/>
    <n v="24.81111111111111"/>
    <x v="0"/>
    <n v="0.02"/>
    <n v="2053.8200000000002"/>
  </r>
  <r>
    <s v="EMP043"/>
    <s v="John Wilson"/>
    <s v="OPS06"/>
    <d v="2003-08-22T00:00:00"/>
    <n v="111845"/>
    <n v="98"/>
    <s v="Active"/>
    <s v="Operations"/>
    <n v="22.875"/>
    <x v="4"/>
    <n v="0.12"/>
    <n v="13421.4"/>
  </r>
  <r>
    <s v="EMP068"/>
    <s v="Melissa Brown"/>
    <s v="SAL05"/>
    <d v="2022-06-29T00:00:00"/>
    <n v="69219"/>
    <n v="93"/>
    <s v="Active"/>
    <s v="Sales"/>
    <n v="4.0222222222222221"/>
    <x v="3"/>
    <n v="0.08"/>
    <n v="5537.52"/>
  </r>
  <r>
    <s v="EMP128"/>
    <s v="Michael Smith"/>
    <s v="FIN03"/>
    <d v="2020-04-28T00:00:00"/>
    <n v="82713.428571428594"/>
    <n v="80"/>
    <s v="Left"/>
    <s v="Finance"/>
    <n v="6.1916666666666664"/>
    <x v="1"/>
    <n v="0.05"/>
    <n v="4135.6714285714297"/>
  </r>
  <r>
    <s v="EMP027"/>
    <s v="Sarah Miller"/>
    <s v="OPS06"/>
    <d v="2017-09-09T00:00:00"/>
    <n v="57514"/>
    <n v="68"/>
    <s v="Active"/>
    <s v="Operations"/>
    <n v="8.8277777777777775"/>
    <x v="0"/>
    <n v="0.02"/>
    <n v="1150.28"/>
  </r>
  <r>
    <s v="EMP136"/>
    <s v="Emily Wilson"/>
    <s v="SAL05"/>
    <d v="2018-03-22T00:00:00"/>
    <n v="86245"/>
    <n v="71"/>
    <s v="Left"/>
    <s v="Sales"/>
    <n v="8.2916666666666661"/>
    <x v="1"/>
    <n v="0.05"/>
    <n v="4312.25"/>
  </r>
  <r>
    <s v="EMP079"/>
    <s v="David Hernandez"/>
    <s v="SAL05"/>
    <d v="2020-07-05T00:00:00"/>
    <n v="52407"/>
    <n v="55"/>
    <s v="Active"/>
    <s v="Sales"/>
    <n v="6.0055555555555555"/>
    <x v="0"/>
    <n v="0.02"/>
    <n v="1048.1400000000001"/>
  </r>
  <r>
    <s v="EMP149"/>
    <s v="James Smith"/>
    <s v="OPS06"/>
    <d v="2019-03-25T00:00:00"/>
    <n v="66606"/>
    <n v="93"/>
    <s v="Resigned"/>
    <s v="Operations"/>
    <n v="7.2833333333333332"/>
    <x v="3"/>
    <n v="0.08"/>
    <n v="5328.4800000000005"/>
  </r>
  <r>
    <s v="EMP037"/>
    <s v="Sarah Williams"/>
    <s v="IT02"/>
    <d v="2019-09-08T00:00:00"/>
    <n v="81896"/>
    <n v="79"/>
    <s v="Resigned"/>
    <s v="Information Technology"/>
    <n v="6.8305555555555557"/>
    <x v="1"/>
    <n v="0.05"/>
    <n v="4094.8"/>
  </r>
  <r>
    <s v="EMP077"/>
    <s v="Amanda Lopez"/>
    <s v="SAL05"/>
    <d v="2016-07-14T00:00:00"/>
    <n v="78402"/>
    <n v="54"/>
    <s v="Active"/>
    <s v="Sales"/>
    <n v="9.9805555555555561"/>
    <x v="0"/>
    <n v="0.02"/>
    <n v="1568.04"/>
  </r>
  <r>
    <s v="EMP023"/>
    <s v="Thomas Lopez"/>
    <s v="OPS06"/>
    <d v="2016-04-10T00:00:00"/>
    <n v="105498"/>
    <n v="76"/>
    <s v="Active"/>
    <s v="Operations"/>
    <n v="10.241666666666667"/>
    <x v="1"/>
    <n v="0.05"/>
    <n v="5274.9000000000005"/>
  </r>
  <r>
    <s v="EMP133"/>
    <s v="Melissa Johnson"/>
    <s v="MKT04"/>
    <d v="2010-07-19T00:00:00"/>
    <n v="91749"/>
    <n v="72"/>
    <s v="Left"/>
    <s v="Marketing"/>
    <n v="15.966666666666667"/>
    <x v="1"/>
    <n v="0.05"/>
    <n v="4587.45"/>
  </r>
  <r>
    <s v="EMP141"/>
    <s v="Amanda Johnson"/>
    <s v="OPS06"/>
    <d v="2021-08-29T00:00:00"/>
    <n v="99935"/>
    <n v="84"/>
    <s v="Resigned"/>
    <s v="Operations"/>
    <n v="4.8555555555555552"/>
    <x v="1"/>
    <n v="0.05"/>
    <n v="4996.75"/>
  </r>
  <r>
    <s v="EMP012"/>
    <s v="John Davis"/>
    <s v="IT02"/>
    <d v="2017-01-26T00:00:00"/>
    <n v="83531"/>
    <n v="30"/>
    <s v="Left"/>
    <s v="Information Technology"/>
    <n v="9.4472222222222229"/>
    <x v="2"/>
    <n v="0"/>
    <n v="0"/>
  </r>
  <r>
    <s v="EMP080"/>
    <s v="James Johnson"/>
    <s v="MKT04"/>
    <d v="2020-05-30T00:00:00"/>
    <n v="75023"/>
    <n v="68"/>
    <s v="Active"/>
    <s v="Marketing"/>
    <n v="6.1027777777777779"/>
    <x v="0"/>
    <n v="0.02"/>
    <n v="1500.46"/>
  </r>
  <r>
    <s v="EMP069"/>
    <s v="Jane Davis"/>
    <s v="HR01"/>
    <d v="2022-02-20T00:00:00"/>
    <n v="93290"/>
    <n v="53"/>
    <s v="Active"/>
    <s v="Human Resources"/>
    <n v="4.3805555555555555"/>
    <x v="0"/>
    <n v="0.02"/>
    <n v="1865.8"/>
  </r>
  <r>
    <s v="EMP150"/>
    <s v="Richard Davis"/>
    <s v="OPS06"/>
    <d v="2016-09-15T00:00:00"/>
    <n v="115527"/>
    <n v="63"/>
    <s v="Resigned"/>
    <s v="Operations"/>
    <n v="9.8111111111111118"/>
    <x v="0"/>
    <n v="0.02"/>
    <n v="2310.54"/>
  </r>
  <r>
    <s v="EMP028"/>
    <s v="Thomas Rodriguez"/>
    <s v="FIN03"/>
    <d v="2019-10-07T00:00:00"/>
    <n v="55920"/>
    <n v="84"/>
    <s v="Active"/>
    <s v="Finance"/>
    <n v="6.75"/>
    <x v="1"/>
    <n v="0.05"/>
    <n v="2796"/>
  </r>
  <r>
    <s v="EMP087"/>
    <s v="Emily Johnson"/>
    <s v="SAL05"/>
    <d v="2018-12-30T00:00:00"/>
    <n v="80189"/>
    <n v="30"/>
    <s v="Active"/>
    <s v="Sales"/>
    <n v="7.5194444444444448"/>
    <x v="2"/>
    <n v="0"/>
    <n v="0"/>
  </r>
  <r>
    <s v="EMP119"/>
    <s v="Emily Garcia"/>
    <s v="HR01"/>
    <d v="2020-12-24T00:00:00"/>
    <n v="118947"/>
    <n v="96"/>
    <s v="Active"/>
    <s v="Human Resources"/>
    <n v="5.5361111111111114"/>
    <x v="4"/>
    <n v="0.12"/>
    <n v="14273.64"/>
  </r>
  <r>
    <s v="EMP042"/>
    <s v="Jane Anderson"/>
    <s v="IT02"/>
    <d v="2023-05-07T00:00:00"/>
    <n v="82713.428571428594"/>
    <n v="54"/>
    <s v="Active"/>
    <s v="Information Technology"/>
    <n v="3.1666666666666665"/>
    <x v="0"/>
    <n v="0.02"/>
    <n v="1654.2685714285719"/>
  </r>
  <r>
    <s v="EMP005"/>
    <s v="Thomas Garcia"/>
    <s v="OPS06"/>
    <d v="2020-11-13T00:00:00"/>
    <n v="82713.428571428594"/>
    <n v="75"/>
    <s v="Active"/>
    <s v="Operations"/>
    <n v="5.65"/>
    <x v="1"/>
    <n v="0.05"/>
    <n v="4135.6714285714297"/>
  </r>
  <r>
    <s v="EMP033"/>
    <s v="David Martinez"/>
    <s v="HR01"/>
    <d v="2018-02-07T00:00:00"/>
    <n v="91655"/>
    <n v="95"/>
    <s v="Active"/>
    <s v="Human Resources"/>
    <n v="8.4166666666666661"/>
    <x v="4"/>
    <n v="0.12"/>
    <n v="10998.6"/>
  </r>
  <r>
    <s v="EMP061"/>
    <s v="Emily Brown"/>
    <s v="IT02"/>
    <d v="2023-11-25T00:00:00"/>
    <n v="49435"/>
    <n v="68"/>
    <s v="Left"/>
    <s v="Information Technology"/>
    <n v="2.6166666666666667"/>
    <x v="0"/>
    <n v="0.02"/>
    <n v="988.7"/>
  </r>
  <r>
    <s v="EMP102"/>
    <s v="Emily Wilson"/>
    <s v="SAL05"/>
    <d v="2023-10-18T00:00:00"/>
    <n v="110381"/>
    <n v="93"/>
    <s v="Active"/>
    <s v="Sales"/>
    <n v="2.7194444444444446"/>
    <x v="3"/>
    <n v="0.08"/>
    <n v="8830.48"/>
  </r>
  <r>
    <s v="EMP067"/>
    <s v="Michael Anderson"/>
    <s v="HR01"/>
    <d v="2020-05-09T00:00:00"/>
    <n v="114748"/>
    <n v="33"/>
    <s v="Active"/>
    <s v="Human Resources"/>
    <n v="6.1611111111111114"/>
    <x v="2"/>
    <n v="0"/>
    <n v="0"/>
  </r>
  <r>
    <s v="EMP017"/>
    <s v="Robert Johnson"/>
    <s v="OPS06"/>
    <d v="2017-06-03T00:00:00"/>
    <n v="63302"/>
    <n v="91"/>
    <s v="Active"/>
    <s v="Operations"/>
    <n v="9.094444444444445"/>
    <x v="3"/>
    <n v="0.08"/>
    <n v="5064.16"/>
  </r>
  <r>
    <s v="EMP123"/>
    <s v="Robert Miller"/>
    <s v="IT02"/>
    <d v="2015-04-28T00:00:00"/>
    <n v="75519"/>
    <n v="64"/>
    <s v="Active"/>
    <s v="Information Technology"/>
    <n v="11.191666666666666"/>
    <x v="0"/>
    <n v="0.02"/>
    <n v="1510.38"/>
  </r>
  <r>
    <s v="EMP011"/>
    <s v="Jane Davis"/>
    <s v="FIN03"/>
    <d v="2017-04-13T00:00:00"/>
    <n v="103891"/>
    <n v="80"/>
    <s v="Active"/>
    <s v="Finance"/>
    <n v="9.2333333333333325"/>
    <x v="1"/>
    <n v="0.05"/>
    <n v="5194.55"/>
  </r>
  <r>
    <s v="EMP091"/>
    <s v="Thomas Davis"/>
    <s v="OPS06"/>
    <d v="2022-09-23T00:00:00"/>
    <n v="82713.428571428594"/>
    <n v="46"/>
    <s v="Left"/>
    <s v="Operations"/>
    <n v="3.7888888888888888"/>
    <x v="2"/>
    <n v="0"/>
    <n v="0"/>
  </r>
  <r>
    <s v="EMP145"/>
    <s v="Thomas Jones"/>
    <s v="MKT04"/>
    <d v="2016-11-11T00:00:00"/>
    <n v="50936"/>
    <n v="99"/>
    <s v="Active"/>
    <s v="Marketing"/>
    <n v="9.655555555555555"/>
    <x v="4"/>
    <n v="0.12"/>
    <n v="6112.32"/>
  </r>
  <r>
    <s v="EMP001"/>
    <s v="Michael Miller"/>
    <s v="SAL05"/>
    <d v="2024-03-17T00:00:00"/>
    <n v="111240"/>
    <n v="68"/>
    <s v="Active"/>
    <s v="Sales"/>
    <n v="2.3055555555555554"/>
    <x v="0"/>
    <n v="0.02"/>
    <n v="2224.8000000000002"/>
  </r>
  <r>
    <s v="EMP113"/>
    <s v="Richard Gonzalez"/>
    <s v="HR01"/>
    <d v="2005-05-19T00:00:00"/>
    <n v="51567"/>
    <n v="87"/>
    <s v="Resigned"/>
    <s v="Human Resources"/>
    <n v="21.133333333333333"/>
    <x v="3"/>
    <n v="0.08"/>
    <n v="4125.3599999999997"/>
  </r>
  <r>
    <s v="EMP065"/>
    <s v="Melissa Williams"/>
    <s v="HR01"/>
    <d v="2021-07-25T00:00:00"/>
    <n v="82713.428571428594"/>
    <n v="36"/>
    <s v="Active"/>
    <s v="Human Resources"/>
    <n v="4.95"/>
    <x v="2"/>
    <n v="0"/>
    <n v="0"/>
  </r>
  <r>
    <s v="EMP045"/>
    <s v="Robert Miller"/>
    <s v="HR01"/>
    <d v="2017-09-30T00:00:00"/>
    <n v="55270"/>
    <n v="87"/>
    <s v="Active"/>
    <s v="Human Resources"/>
    <n v="8.7694444444444439"/>
    <x v="3"/>
    <n v="0.08"/>
    <n v="4421.6000000000004"/>
  </r>
  <r>
    <s v="EMP083"/>
    <s v="William Garcia"/>
    <s v="SAL05"/>
    <d v="2015-07-07T00:00:00"/>
    <n v="65235"/>
    <n v="97"/>
    <s v="Active"/>
    <s v="Sales"/>
    <n v="11"/>
    <x v="4"/>
    <n v="0.12"/>
    <n v="7828.2"/>
  </r>
  <r>
    <s v="EMP029"/>
    <s v="John Gonzalez"/>
    <s v="SAL05"/>
    <d v="2018-02-07T00:00:00"/>
    <n v="82713.428571428594"/>
    <n v="72"/>
    <s v="Left"/>
    <s v="Sales"/>
    <n v="8.4166666666666661"/>
    <x v="1"/>
    <n v="0.05"/>
    <n v="4135.6714285714297"/>
  </r>
  <r>
    <s v="EMP041"/>
    <s v="James Gonzalez"/>
    <s v="SAL05"/>
    <d v="2022-09-15T00:00:00"/>
    <n v="82713.428571428594"/>
    <n v="65"/>
    <s v="Left"/>
    <s v="Sales"/>
    <n v="3.8111111111111109"/>
    <x v="0"/>
    <n v="0.02"/>
    <n v="1654.2685714285719"/>
  </r>
  <r>
    <s v="EMP026"/>
    <s v="Jane Gonzalez"/>
    <s v="SAL05"/>
    <d v="2015-02-09T00:00:00"/>
    <n v="82713.428571428594"/>
    <n v="67"/>
    <s v="Active"/>
    <s v="Sales"/>
    <n v="11.411111111111111"/>
    <x v="0"/>
    <n v="0.02"/>
    <n v="1654.2685714285719"/>
  </r>
  <r>
    <s v="EMP024"/>
    <s v="David Wilson"/>
    <s v="OPS06"/>
    <d v="2011-10-16T00:00:00"/>
    <n v="48823"/>
    <n v="34"/>
    <s v="Active"/>
    <s v="Operations"/>
    <n v="14.725"/>
    <x v="2"/>
    <n v="0"/>
    <n v="0"/>
  </r>
  <r>
    <s v="EMP111"/>
    <s v="Jane Gonzalez"/>
    <s v="FIN03"/>
    <d v="2019-04-20T00:00:00"/>
    <n v="45196"/>
    <n v="78"/>
    <s v="Left"/>
    <s v="Finance"/>
    <n v="7.2138888888888886"/>
    <x v="1"/>
    <n v="0.05"/>
    <n v="2259.8000000000002"/>
  </r>
  <r>
    <s v="EMP040"/>
    <s v="Jane Rodriguez"/>
    <s v="IT02"/>
    <d v="2017-02-19T00:00:00"/>
    <n v="86246"/>
    <n v="61"/>
    <s v="Active"/>
    <s v="Information Technology"/>
    <n v="9.3833333333333329"/>
    <x v="0"/>
    <n v="0.02"/>
    <n v="1724.92"/>
  </r>
  <r>
    <s v="EMP086"/>
    <s v="Emily Miller"/>
    <s v="SAL05"/>
    <d v="2021-09-07T00:00:00"/>
    <n v="70359"/>
    <n v="74"/>
    <s v="Left"/>
    <s v="Sales"/>
    <n v="4.833333333333333"/>
    <x v="1"/>
    <n v="0.05"/>
    <n v="3517.9500000000003"/>
  </r>
  <r>
    <s v="EMP124"/>
    <s v="Sarah Miller"/>
    <s v="MKT04"/>
    <d v="2019-05-14T00:00:00"/>
    <n v="82713.428571428594"/>
    <n v="94"/>
    <s v="Active"/>
    <s v="Marketing"/>
    <n v="7.1472222222222221"/>
    <x v="3"/>
    <n v="0.08"/>
    <n v="6617.0742857142877"/>
  </r>
  <r>
    <s v="EMP132"/>
    <s v="Jessica Garcia"/>
    <s v="OPS06"/>
    <d v="2015-11-22T00:00:00"/>
    <n v="86480"/>
    <n v="68"/>
    <s v="Active"/>
    <s v="Operations"/>
    <n v="10.625"/>
    <x v="0"/>
    <n v="0.02"/>
    <n v="1729.6000000000001"/>
  </r>
  <r>
    <s v="EMP048"/>
    <s v="Richard Smith"/>
    <s v="HR01"/>
    <d v="2018-09-29T00:00:00"/>
    <n v="47694"/>
    <n v="75"/>
    <s v="Active"/>
    <s v="Human Resources"/>
    <n v="7.7722222222222221"/>
    <x v="1"/>
    <n v="0.05"/>
    <n v="2384.7000000000003"/>
  </r>
  <r>
    <s v="EMP114"/>
    <s v="Melissa Wilson"/>
    <s v="IT02"/>
    <d v="2023-02-09T00:00:00"/>
    <n v="83724"/>
    <n v="81"/>
    <s v="Resigned"/>
    <s v="Information Technology"/>
    <n v="3.411111111111111"/>
    <x v="1"/>
    <n v="0.05"/>
    <n v="4186.2"/>
  </r>
  <r>
    <s v="EMP062"/>
    <s v="Thomas Williams"/>
    <s v="FIN03"/>
    <d v="2022-07-17T00:00:00"/>
    <n v="98299"/>
    <n v="61"/>
    <s v="Active"/>
    <s v="Finance"/>
    <n v="3.9722222222222223"/>
    <x v="0"/>
    <n v="0.02"/>
    <n v="1965.98"/>
  </r>
  <r>
    <s v="EMP074"/>
    <s v="David Williams"/>
    <s v="FIN03"/>
    <d v="2007-02-21T00:00:00"/>
    <n v="82713.428571428594"/>
    <n v="68"/>
    <s v="Active"/>
    <s v="Finance"/>
    <n v="19.377777777777776"/>
    <x v="0"/>
    <n v="0.02"/>
    <n v="1654.2685714285719"/>
  </r>
  <r>
    <s v="EMP034"/>
    <s v="John Johnson"/>
    <s v="IT02"/>
    <d v="2023-10-04T00:00:00"/>
    <n v="52287"/>
    <n v="70"/>
    <s v="Active"/>
    <s v="Information Technology"/>
    <n v="2.7583333333333333"/>
    <x v="1"/>
    <n v="0.05"/>
    <n v="2614.3500000000004"/>
  </r>
  <r>
    <s v="EMP105"/>
    <s v="Richard Gonzalez"/>
    <s v="IT02"/>
    <d v="2020-08-30T00:00:00"/>
    <n v="82633"/>
    <n v="98"/>
    <s v="Active"/>
    <s v="Information Technology"/>
    <n v="5.8527777777777779"/>
    <x v="4"/>
    <n v="0.12"/>
    <n v="9915.9599999999991"/>
  </r>
  <r>
    <s v="EMP118"/>
    <s v="Melissa Anderson"/>
    <s v="OPS06"/>
    <d v="2021-08-14T00:00:00"/>
    <n v="46508"/>
    <n v="34"/>
    <s v="Active"/>
    <s v="Operations"/>
    <n v="4.8972222222222221"/>
    <x v="2"/>
    <n v="0"/>
    <n v="0"/>
  </r>
  <r>
    <s v="EMP063"/>
    <s v="Emily Gonzalez"/>
    <s v="HR01"/>
    <d v="2027-11-19T00:00:00"/>
    <n v="86232"/>
    <n v="93"/>
    <s v="Active"/>
    <s v="Human Resources"/>
    <n v="1.3666666666666667"/>
    <x v="3"/>
    <n v="0.08"/>
    <n v="6898.56"/>
  </r>
  <r>
    <s v="EMP094"/>
    <s v="Jane Davis"/>
    <s v="IT02"/>
    <d v="2025-05-17T00:00:00"/>
    <n v="77545"/>
    <n v="48"/>
    <s v="Active"/>
    <s v="Information Technology"/>
    <n v="1.1388888888888888"/>
    <x v="2"/>
    <n v="0"/>
    <n v="0"/>
  </r>
  <r>
    <s v="EMP097"/>
    <s v="William Gonzalez"/>
    <s v="OPS06"/>
    <d v="2018-02-12T00:00:00"/>
    <n v="68683"/>
    <n v="90"/>
    <s v="Active"/>
    <s v="Operations"/>
    <n v="8.4027777777777786"/>
    <x v="3"/>
    <n v="0.08"/>
    <n v="5494.64"/>
  </r>
  <r>
    <s v="EMP054"/>
    <s v="Thomas Jones"/>
    <s v="FIN03"/>
    <d v="2019-06-23T00:00:00"/>
    <n v="83932"/>
    <n v="57"/>
    <s v="Left"/>
    <s v="Finance"/>
    <n v="7.0388888888888888"/>
    <x v="0"/>
    <n v="0.02"/>
    <n v="1678.64"/>
  </r>
  <r>
    <s v="EMP006"/>
    <s v="Jessica Anderson"/>
    <s v="HR01"/>
    <d v="2015-10-27T00:00:00"/>
    <n v="56073"/>
    <n v="79"/>
    <s v="Active"/>
    <s v="Human Resources"/>
    <n v="10.694444444444445"/>
    <x v="1"/>
    <n v="0.05"/>
    <n v="2803.65"/>
  </r>
  <r>
    <s v="EMP110"/>
    <s v="Melissa Johnson"/>
    <s v="IT02"/>
    <d v="2018-06-19T00:00:00"/>
    <n v="88056"/>
    <n v="66"/>
    <s v="Active"/>
    <s v="Information Technology"/>
    <n v="8.0500000000000007"/>
    <x v="0"/>
    <n v="0.02"/>
    <n v="1761.1200000000001"/>
  </r>
  <r>
    <s v="EMP147"/>
    <s v="Thomas Miller"/>
    <s v="OPS06"/>
    <d v="2018-12-01T00:00:00"/>
    <n v="67414"/>
    <n v="84"/>
    <s v="Left"/>
    <s v="Operations"/>
    <n v="7.6"/>
    <x v="1"/>
    <n v="0.05"/>
    <n v="3370.7000000000003"/>
  </r>
  <r>
    <s v="EMP050"/>
    <s v="William Gonzalez"/>
    <s v="SAL05"/>
    <d v="2015-04-01T00:00:00"/>
    <n v="115288"/>
    <n v="61"/>
    <s v="Active"/>
    <s v="Sales"/>
    <n v="11.266666666666667"/>
    <x v="0"/>
    <n v="0.02"/>
    <n v="2305.7600000000002"/>
  </r>
  <r>
    <s v="EMP036"/>
    <s v="Smith"/>
    <s v="SAL05"/>
    <d v="2018-05-12T00:00:00"/>
    <n v="80140"/>
    <n v="58"/>
    <s v="Active"/>
    <s v="Sales"/>
    <n v="8.1527777777777786"/>
    <x v="0"/>
    <n v="0.02"/>
    <n v="1602.8"/>
  </r>
  <r>
    <s v="EMP081"/>
    <s v="John Johnson"/>
    <s v="IT02"/>
    <d v="2021-10-13T00:00:00"/>
    <n v="73087"/>
    <n v="69"/>
    <s v="Active"/>
    <s v="Information Technology"/>
    <n v="4.7333333333333334"/>
    <x v="0"/>
    <n v="0.02"/>
    <n v="1461.74"/>
  </r>
  <r>
    <s v="EMP078"/>
    <s v="Jane Johnson"/>
    <s v="SAL05"/>
    <d v="2020-07-09T00:00:00"/>
    <n v="95292"/>
    <n v="34"/>
    <s v="Active"/>
    <s v="Sales"/>
    <n v="5.9944444444444445"/>
    <x v="2"/>
    <n v="0"/>
    <n v="0"/>
  </r>
  <r>
    <s v="EMP035"/>
    <s v="John Jones"/>
    <s v="IT02"/>
    <d v="2019-03-08T00:00:00"/>
    <n v="82713.428571428594"/>
    <n v="33"/>
    <s v="Active"/>
    <s v="Information Technology"/>
    <n v="7.3305555555555557"/>
    <x v="2"/>
    <n v="0"/>
    <n v="0"/>
  </r>
  <r>
    <s v="EMP047"/>
    <s v="Jane Lopez"/>
    <s v="MKT04"/>
    <d v="2011-03-15T00:00:00"/>
    <n v="101750"/>
    <n v="84"/>
    <s v="Left"/>
    <s v="Marketing"/>
    <n v="15.311111111111112"/>
    <x v="1"/>
    <n v="0.05"/>
    <n v="5087.5"/>
  </r>
  <r>
    <s v="EMP008"/>
    <s v="Melissa Gonzalez"/>
    <s v="MKT04"/>
    <d v="2019-02-17T00:00:00"/>
    <n v="82992"/>
    <n v="79"/>
    <s v="Active"/>
    <s v="Marketing"/>
    <n v="7.3888888888888893"/>
    <x v="1"/>
    <n v="0.05"/>
    <n v="4149.6000000000004"/>
  </r>
  <r>
    <s v="EMP044"/>
    <s v="William Davis"/>
    <s v="IT02"/>
    <d v="2023-09-05T00:00:00"/>
    <n v="49942"/>
    <n v="51"/>
    <s v="Active"/>
    <s v="Information Technology"/>
    <n v="2.838888888888889"/>
    <x v="0"/>
    <n v="0.02"/>
    <n v="998.84"/>
  </r>
  <r>
    <s v="EMP071"/>
    <s v="John Smith"/>
    <s v="OPS06"/>
    <d v="2018-01-22T00:00:00"/>
    <n v="89060"/>
    <n v="58"/>
    <s v="Active"/>
    <s v="Operations"/>
    <n v="8.4583333333333339"/>
    <x v="0"/>
    <n v="0.02"/>
    <n v="1781.2"/>
  </r>
  <r>
    <s v="EMP115"/>
    <s v="James Gonzalez"/>
    <s v="IT02"/>
    <d v="2020-02-18T00:00:00"/>
    <n v="53786"/>
    <n v="98"/>
    <s v="Active"/>
    <s v="Information Technology"/>
    <n v="6.3861111111111111"/>
    <x v="4"/>
    <n v="0.12"/>
    <n v="6454.32"/>
  </r>
  <r>
    <s v="EMP092"/>
    <s v="Emily Johnson"/>
    <s v="OPS06"/>
    <d v="2016-05-22T00:00:00"/>
    <n v="81167"/>
    <n v="68"/>
    <s v="Active"/>
    <s v="Operations"/>
    <n v="10.125"/>
    <x v="0"/>
    <n v="0.02"/>
    <n v="1623.3400000000001"/>
  </r>
  <r>
    <s v="EMP084"/>
    <s v="William Williams"/>
    <s v="MKT04"/>
    <d v="2021-02-06T00:00:00"/>
    <n v="66688"/>
    <n v="40"/>
    <s v="Left"/>
    <s v="Marketing"/>
    <n v="5.4194444444444443"/>
    <x v="2"/>
    <n v="0"/>
    <n v="0"/>
  </r>
  <r>
    <s v="EMP142"/>
    <s v="James Jones"/>
    <s v="IT02"/>
    <d v="2021-07-17T00:00:00"/>
    <n v="91672"/>
    <n v="88"/>
    <s v="Active"/>
    <s v="Information Technology"/>
    <n v="4.9722222222222223"/>
    <x v="3"/>
    <n v="0.08"/>
    <n v="7333.76"/>
  </r>
  <r>
    <s v="EMP143"/>
    <s v="Jessica Gonzalez"/>
    <s v="HR01"/>
    <d v="2013-11-16T00:00:00"/>
    <n v="77737"/>
    <n v="77"/>
    <s v="Active"/>
    <s v="Human Resources"/>
    <n v="12.641666666666667"/>
    <x v="1"/>
    <n v="0.05"/>
    <n v="3886.8500000000004"/>
  </r>
  <r>
    <s v="EMP090"/>
    <s v="Sarah Miller"/>
    <s v="SAL05"/>
    <d v="2019-02-17T00:00:00"/>
    <n v="95686"/>
    <n v="91"/>
    <s v="Active"/>
    <s v="Sales"/>
    <n v="7.3888888888888893"/>
    <x v="3"/>
    <n v="0.08"/>
    <n v="7654.88"/>
  </r>
  <r>
    <s v="EMP009"/>
    <s v="Jessica Smith"/>
    <s v="SAL05"/>
    <d v="2016-12-09T00:00:00"/>
    <n v="114681"/>
    <n v="36"/>
    <s v="Active"/>
    <s v="Sales"/>
    <n v="9.5777777777777775"/>
    <x v="2"/>
    <n v="0"/>
    <n v="0"/>
  </r>
  <r>
    <s v="EMP014"/>
    <s v="Thomas Jones"/>
    <s v="OPS06"/>
    <d v="2013-08-21T00:00:00"/>
    <n v="109121"/>
    <n v="72"/>
    <s v="Active"/>
    <s v="Operations"/>
    <n v="12.877777777777778"/>
    <x v="1"/>
    <n v="0.05"/>
    <n v="5456.05"/>
  </r>
  <r>
    <s v="EMP060"/>
    <s v="Amanda Brown"/>
    <s v="MKT04"/>
    <d v="2020-06-14T00:00:00"/>
    <n v="112791"/>
    <n v="87"/>
    <s v="Active"/>
    <s v="Marketing"/>
    <n v="6.0638888888888891"/>
    <x v="3"/>
    <n v="0.08"/>
    <n v="9023.2800000000007"/>
  </r>
  <r>
    <s v="EMP135"/>
    <s v="Robert Martinez"/>
    <s v="IT02"/>
    <d v="2005-07-22T00:00:00"/>
    <n v="118008"/>
    <n v="71"/>
    <s v="Active"/>
    <s v="Information Technology"/>
    <n v="20.958333333333332"/>
    <x v="1"/>
    <n v="0.05"/>
    <n v="5900.4000000000005"/>
  </r>
  <r>
    <s v="EMP004"/>
    <s v="Thomas Miller"/>
    <s v="IT02"/>
    <d v="2016-07-10T00:00:00"/>
    <n v="74370"/>
    <n v="82"/>
    <s v="Active"/>
    <s v="Information Technology"/>
    <n v="9.9916666666666671"/>
    <x v="1"/>
    <n v="0.05"/>
    <n v="3718.5"/>
  </r>
  <r>
    <s v="EMP018"/>
    <s v="David Rodriguez"/>
    <s v="IT02"/>
    <d v="2022-04-23T00:00:00"/>
    <n v="77819"/>
    <n v="79"/>
    <s v="Active"/>
    <s v="Information Technology"/>
    <n v="4.2055555555555557"/>
    <x v="1"/>
    <n v="0.05"/>
    <n v="3890.9500000000003"/>
  </r>
  <r>
    <s v="EMP039"/>
    <s v="Jane Miller"/>
    <s v="MKT04"/>
    <d v="2017-05-10T00:00:00"/>
    <n v="48748"/>
    <n v="83"/>
    <s v="Active"/>
    <s v="Marketing"/>
    <n v="9.1583333333333332"/>
    <x v="1"/>
    <n v="0.05"/>
    <n v="2437.4"/>
  </r>
  <r>
    <s v="EMP073"/>
    <s v="James Rodriguez"/>
    <s v="OPS06"/>
    <d v="2020-05-20T00:00:00"/>
    <n v="101997"/>
    <n v="38"/>
    <s v="Resigned"/>
    <s v="Operations"/>
    <n v="6.1305555555555555"/>
    <x v="2"/>
    <n v="0"/>
    <n v="0"/>
  </r>
  <r>
    <s v="EMP138"/>
    <s v="Sarah Rodriguez"/>
    <s v="HR01"/>
    <d v="2023-04-20T00:00:00"/>
    <n v="115260"/>
    <n v="77"/>
    <s v="Active"/>
    <s v="Human Resources"/>
    <n v="3.213888888888889"/>
    <x v="1"/>
    <n v="0.05"/>
    <n v="5763"/>
  </r>
  <r>
    <s v="EMP007"/>
    <s v="Sarah Wilson"/>
    <s v="SAL05"/>
    <d v="2021-10-31T00:00:00"/>
    <n v="82713.428571428594"/>
    <n v="49"/>
    <s v="Active"/>
    <s v="Sales"/>
    <n v="4.6861111111111109"/>
    <x v="2"/>
    <n v="0"/>
    <n v="0"/>
  </r>
  <r>
    <s v="EMP144"/>
    <s v="Melissa Brown"/>
    <s v="IT02"/>
    <d v="2024-10-21T00:00:00"/>
    <n v="82713.428571428594"/>
    <n v="69"/>
    <s v="Left"/>
    <s v="Information Technology"/>
    <n v="1.711111111111111"/>
    <x v="0"/>
    <n v="0.02"/>
    <n v="1654.2685714285719"/>
  </r>
  <r>
    <s v="EMP101"/>
    <s v="Robert Williams"/>
    <s v="SAL05"/>
    <d v="2017-09-08T00:00:00"/>
    <n v="82713.428571428594"/>
    <n v="76"/>
    <s v="Active"/>
    <s v="Sales"/>
    <n v="8.8305555555555557"/>
    <x v="1"/>
    <n v="0.05"/>
    <n v="4135.6714285714297"/>
  </r>
  <r>
    <s v="EMP003"/>
    <s v="Melissa Rodriguez"/>
    <s v="OPS06"/>
    <d v="2023-04-01T00:00:00"/>
    <n v="60623"/>
    <n v="78"/>
    <s v="Active"/>
    <s v="Operations"/>
    <n v="3.2666666666666666"/>
    <x v="1"/>
    <n v="0.05"/>
    <n v="3031.15"/>
  </r>
  <r>
    <s v="EMP121"/>
    <s v="James Johnson"/>
    <s v="HR01"/>
    <d v="2010-08-20T00:00:00"/>
    <n v="68092"/>
    <n v="93"/>
    <s v="Active"/>
    <s v="Human Resources"/>
    <n v="15.880555555555556"/>
    <x v="3"/>
    <n v="0.08"/>
    <n v="5447.36"/>
  </r>
  <r>
    <s v="EMP064"/>
    <s v="Michael Wilson"/>
    <s v="MKT04"/>
    <d v="2022-02-04T00:00:00"/>
    <n v="88155"/>
    <n v="68"/>
    <s v="Active"/>
    <s v="Marketing"/>
    <n v="4.4249999999999998"/>
    <x v="0"/>
    <n v="0.02"/>
    <n v="1763.1000000000001"/>
  </r>
  <r>
    <s v="EMP116"/>
    <s v="William Jones"/>
    <s v="MKT04"/>
    <d v="2024-03-18T00:00:00"/>
    <n v="107903"/>
    <n v="42"/>
    <s v="Active"/>
    <s v="Marketing"/>
    <n v="2.3027777777777776"/>
    <x v="2"/>
    <n v="0"/>
    <n v="0"/>
  </r>
  <r>
    <s v="EMP055"/>
    <s v="William Williams"/>
    <s v="IT02"/>
    <d v="2018-07-24T00:00:00"/>
    <n v="62818"/>
    <n v="34"/>
    <s v="Active"/>
    <s v="Information Technology"/>
    <n v="7.9527777777777775"/>
    <x v="2"/>
    <n v="0"/>
    <n v="0"/>
  </r>
  <r>
    <s v="EMP108"/>
    <s v="David Williams"/>
    <s v="HR01"/>
    <d v="2018-07-20T00:00:00"/>
    <n v="85151"/>
    <n v="35"/>
    <s v="Active"/>
    <s v="Human Resources"/>
    <n v="7.9638888888888886"/>
    <x v="2"/>
    <n v="0"/>
    <n v="0"/>
  </r>
  <r>
    <s v="EMP051"/>
    <s v="Jane Davis"/>
    <s v="FIN03"/>
    <d v="2004-03-16T00:00:00"/>
    <n v="46390"/>
    <n v="95"/>
    <s v="Active"/>
    <s v="Finance"/>
    <n v="22.308333333333334"/>
    <x v="4"/>
    <n v="0.12"/>
    <n v="5566.8"/>
  </r>
  <r>
    <s v="EMP059"/>
    <s v="John Martinez"/>
    <s v="HR01"/>
    <d v="2022-03-23T00:00:00"/>
    <n v="111920"/>
    <n v="90"/>
    <s v="Left"/>
    <s v="Human Resources"/>
    <n v="4.2888888888888888"/>
    <x v="3"/>
    <n v="0.08"/>
    <n v="8953.6"/>
  </r>
  <r>
    <s v="EMP049"/>
    <s v="David Anderson"/>
    <s v="HR01"/>
    <d v="2028-07-17T00:00:00"/>
    <n v="115618"/>
    <n v="42"/>
    <s v="Active"/>
    <s v="Human Resources"/>
    <n v="2.0277777777777777"/>
    <x v="2"/>
    <n v="0"/>
    <n v="0"/>
  </r>
  <r>
    <s v="EMP089"/>
    <s v="Sarah Smith"/>
    <s v="SAL05"/>
    <d v="2023-05-11T00:00:00"/>
    <n v="110618"/>
    <n v="88"/>
    <s v="Resigned"/>
    <s v="Sales"/>
    <n v="3.1555555555555554"/>
    <x v="3"/>
    <n v="0.08"/>
    <n v="8849.44"/>
  </r>
  <r>
    <s v="EMP022"/>
    <s v="Melissa Hernandez"/>
    <s v="OPS06"/>
    <d v="2019-03-22T00:00:00"/>
    <n v="108395"/>
    <n v="78"/>
    <s v="Left"/>
    <s v="Operations"/>
    <n v="7.291666666666667"/>
    <x v="1"/>
    <n v="0.05"/>
    <n v="5419.75"/>
  </r>
  <r>
    <s v="EMP058"/>
    <s v="Melissa Johnson"/>
    <s v="FIN03"/>
    <d v="2017-12-22T00:00:00"/>
    <n v="88005"/>
    <n v="69"/>
    <s v="Active"/>
    <s v="Finance"/>
    <n v="8.5416666666666661"/>
    <x v="0"/>
    <n v="0.02"/>
    <n v="1760.1000000000001"/>
  </r>
  <r>
    <s v="EMP130"/>
    <s v="Jane Garcia"/>
    <s v="MKT04"/>
    <d v="2021-08-29T00:00:00"/>
    <n v="83007"/>
    <n v="82"/>
    <s v="Active"/>
    <s v="Marketing"/>
    <n v="4.8555555555555552"/>
    <x v="1"/>
    <n v="0.05"/>
    <n v="4150.3500000000004"/>
  </r>
  <r>
    <s v="EMP038"/>
    <s v="David Davis"/>
    <s v="IT02"/>
    <d v="2018-09-17T00:00:00"/>
    <n v="61547"/>
    <n v="68"/>
    <s v="Active"/>
    <s v="Information Technology"/>
    <n v="7.8055555555555554"/>
    <x v="0"/>
    <n v="0.02"/>
    <n v="1230.94"/>
  </r>
  <r>
    <s v="EMP148"/>
    <s v="James Wilson"/>
    <s v="SAL05"/>
    <d v="2021-06-28T00:00:00"/>
    <n v="82713.428571428594"/>
    <n v="52"/>
    <s v="Active"/>
    <s v="Sales"/>
    <n v="5.0250000000000004"/>
    <x v="0"/>
    <n v="0.02"/>
    <n v="1654.2685714285719"/>
  </r>
  <r>
    <s v="EMP002"/>
    <s v="Richard Johnson"/>
    <s v="OPS06"/>
    <d v="2003-10-17T00:00:00"/>
    <n v="50399"/>
    <n v="92"/>
    <s v="Left"/>
    <s v="Operations"/>
    <n v="22.722222222222221"/>
    <x v="3"/>
    <n v="0.08"/>
    <n v="4031.92"/>
  </r>
  <r>
    <s v="EMP053"/>
    <s v="Richard Williams"/>
    <s v="FIN03"/>
    <d v="2015-10-22T00:00:00"/>
    <n v="82713.428571428594"/>
    <n v="62"/>
    <s v="Active"/>
    <s v="Finance"/>
    <n v="10.708333333333334"/>
    <x v="0"/>
    <n v="0.02"/>
    <n v="1654.2685714285719"/>
  </r>
  <r>
    <s v="EMP131"/>
    <s v="John Hernandez"/>
    <s v="OPS06"/>
    <d v="2018-06-06T00:00:00"/>
    <n v="52720"/>
    <n v="68"/>
    <s v="Active"/>
    <s v="Operations"/>
    <n v="8.0861111111111104"/>
    <x v="0"/>
    <n v="0.02"/>
    <n v="1054.4000000000001"/>
  </r>
  <r>
    <s v="EMP104"/>
    <s v="Sarah Gonzalez"/>
    <s v="OPS06"/>
    <d v="2017-07-16T00:00:00"/>
    <n v="65065"/>
    <n v="98"/>
    <s v="Active"/>
    <s v="Operations"/>
    <n v="8.9749999999999996"/>
    <x v="4"/>
    <n v="0.12"/>
    <n v="7807.7999999999993"/>
  </r>
  <r>
    <s v="EMP100"/>
    <s v="Melissa Hernandez"/>
    <s v="SAL05"/>
    <d v="2015-06-20T00:00:00"/>
    <n v="82713.428571428594"/>
    <n v="94"/>
    <s v="Resigned"/>
    <s v="Sales"/>
    <n v="11.047222222222222"/>
    <x v="3"/>
    <n v="0.08"/>
    <n v="6617.0742857142877"/>
  </r>
  <r>
    <s v="EMP117"/>
    <s v="Melissa Hernandez"/>
    <s v="OPS06"/>
    <d v="2019-05-24T00:00:00"/>
    <n v="108119"/>
    <n v="57"/>
    <s v="Resigned"/>
    <s v="Operations"/>
    <n v="7.1194444444444445"/>
    <x v="0"/>
    <n v="0.02"/>
    <n v="2162.38"/>
  </r>
  <r>
    <s v="EMP088"/>
    <s v="John Davis"/>
    <s v="IT02"/>
    <d v="2020-02-26T00:00:00"/>
    <n v="82713.428571428594"/>
    <n v="96"/>
    <s v="Active"/>
    <s v="Information Technology"/>
    <n v="6.3638888888888889"/>
    <x v="4"/>
    <n v="0.12"/>
    <n v="9925.6114285714302"/>
  </r>
  <r>
    <s v="EMP075"/>
    <s v="Richard Davis"/>
    <s v="HR01"/>
    <d v="2023-06-03T00:00:00"/>
    <n v="106896"/>
    <n v="52"/>
    <s v="Left"/>
    <s v="Human Resources"/>
    <n v="3.0944444444444446"/>
    <x v="0"/>
    <n v="0.02"/>
    <n v="2137.92"/>
  </r>
  <r>
    <s v="EMP122"/>
    <s v="Jones"/>
    <s v="IT02"/>
    <d v="2019-01-12T00:00:00"/>
    <n v="112887"/>
    <n v="59"/>
    <s v="Active"/>
    <s v="Information Technology"/>
    <n v="7.4861111111111107"/>
    <x v="0"/>
    <n v="0.02"/>
    <n v="2257.7400000000002"/>
  </r>
  <r>
    <s v="EMP021"/>
    <s v="William Rodriguez"/>
    <s v="FIN03"/>
    <d v="2023-04-21T00:00:00"/>
    <n v="85457"/>
    <n v="79"/>
    <s v="Active"/>
    <s v="Finance"/>
    <n v="3.2111111111111112"/>
    <x v="1"/>
    <n v="0.05"/>
    <n v="4272.8500000000004"/>
  </r>
  <r>
    <s v="EMP072"/>
    <s v="Melissa Miller"/>
    <s v="SAL05"/>
    <d v="2016-05-29T00:00:00"/>
    <n v="62798"/>
    <n v="30"/>
    <s v="Active"/>
    <s v="Sales"/>
    <n v="10.105555555555556"/>
    <x v="2"/>
    <n v="0"/>
    <n v="0"/>
  </r>
  <r>
    <s v="EMP107"/>
    <s v="Emily Martinez"/>
    <s v="OPS06"/>
    <d v="2022-05-30T00:00:00"/>
    <n v="47794"/>
    <n v="73"/>
    <s v="Left"/>
    <s v="Operations"/>
    <n v="4.1027777777777779"/>
    <x v="1"/>
    <n v="0.05"/>
    <n v="2389.7000000000003"/>
  </r>
  <r>
    <s v="EMP093"/>
    <s v="James Rodriguez"/>
    <s v="MKT04"/>
    <d v="2003-11-16T00:00:00"/>
    <n v="93094"/>
    <n v="74"/>
    <s v="Active"/>
    <s v="Marketing"/>
    <n v="22.641666666666666"/>
    <x v="1"/>
    <n v="0.05"/>
    <n v="4654.7"/>
  </r>
  <r>
    <s v="EMP103"/>
    <s v="Amanda Brown"/>
    <s v="IT02"/>
    <d v="2022-10-14T00:00:00"/>
    <n v="118634"/>
    <n v="91"/>
    <s v="Active"/>
    <s v="Information Technology"/>
    <n v="3.7305555555555556"/>
    <x v="3"/>
    <n v="0.08"/>
    <n v="9490.71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Brown"/>
    <s v="IT02"/>
    <d v="2017-12-24T00:00:00"/>
    <n v="50361"/>
    <n v="52"/>
    <s v="Active"/>
    <s v="Information Technology"/>
    <n v="8.5361111111111114"/>
    <x v="0"/>
    <n v="0.02"/>
    <n v="1007.22"/>
  </r>
  <r>
    <s v="EMP046"/>
    <s v="Richard Hernandez"/>
    <s v="MKT04"/>
    <d v="2022-08-04T00:00:00"/>
    <n v="112673"/>
    <n v="68"/>
    <s v="Active"/>
    <s v="Marketing"/>
    <n v="3.9249999999999998"/>
    <x v="0"/>
    <n v="0.02"/>
    <n v="2253.46"/>
  </r>
  <r>
    <s v="EMP134"/>
    <s v="Emily Gonzalez"/>
    <s v="IT02"/>
    <d v="2016-02-03T00:00:00"/>
    <n v="114425"/>
    <n v="54"/>
    <s v="Left"/>
    <s v="Information Technology"/>
    <n v="10.427777777777777"/>
    <x v="0"/>
    <n v="0.02"/>
    <n v="2288.5"/>
  </r>
  <r>
    <s v="EMP139"/>
    <s v="John Martinez"/>
    <s v="FIN03"/>
    <d v="2023-03-07T00:00:00"/>
    <n v="103831"/>
    <n v="70"/>
    <s v="Active"/>
    <s v="Finance"/>
    <n v="3.3333333333333335"/>
    <x v="1"/>
    <n v="0.05"/>
    <n v="5191.55"/>
  </r>
  <r>
    <s v="EMP112"/>
    <s v="Thomas Smith"/>
    <s v="IT02"/>
    <d v="2023-02-20T00:00:00"/>
    <n v="73785"/>
    <n v="40"/>
    <s v="Left"/>
    <s v="Information Technology"/>
    <n v="3.3805555555555555"/>
    <x v="2"/>
    <n v="0"/>
    <n v="0"/>
  </r>
  <r>
    <s v="EMP030"/>
    <s v="Emily Johnson"/>
    <s v="OPS06"/>
    <d v="2020-02-03T00:00:00"/>
    <n v="115882"/>
    <n v="49"/>
    <s v="Active"/>
    <s v="Operations"/>
    <n v="6.427777777777778"/>
    <x v="2"/>
    <n v="0"/>
    <n v="0"/>
  </r>
  <r>
    <s v="EMP096"/>
    <s v="John Wilson"/>
    <s v="OPS06"/>
    <d v="2023-12-12T00:00:00"/>
    <n v="59980"/>
    <n v="70"/>
    <s v="Left"/>
    <s v="Operations"/>
    <n v="2.5694444444444446"/>
    <x v="1"/>
    <n v="0.05"/>
    <n v="2999"/>
  </r>
  <r>
    <s v="EMP098"/>
    <s v="Jessica Smith"/>
    <s v="OPS06"/>
    <d v="2020-09-12T00:00:00"/>
    <n v="68728"/>
    <n v="45"/>
    <s v="Active"/>
    <s v="Operations"/>
    <n v="5.8194444444444446"/>
    <x v="2"/>
    <n v="0"/>
    <n v="0"/>
  </r>
  <r>
    <s v="EMP095"/>
    <s v="Rodriguez"/>
    <s v="FIN03"/>
    <d v="2018-07-01T00:00:00"/>
    <n v="102139"/>
    <n v="79"/>
    <s v="Active"/>
    <s v="Finance"/>
    <n v="8.0166666666666675"/>
    <x v="1"/>
    <n v="0.05"/>
    <n v="5106.9500000000007"/>
  </r>
  <r>
    <s v="EMP140"/>
    <s v="Michael Martinez"/>
    <s v="SAL05"/>
    <d v="2016-02-11T00:00:00"/>
    <n v="94998"/>
    <n v="58"/>
    <s v="Active"/>
    <s v="Sales"/>
    <n v="10.405555555555555"/>
    <x v="0"/>
    <n v="0.02"/>
    <n v="1899.96"/>
  </r>
  <r>
    <s v="EMP020"/>
    <s v="Emily Miller"/>
    <s v="SAL05"/>
    <d v="2020-03-21T00:00:00"/>
    <n v="118635"/>
    <n v="49"/>
    <s v="Active"/>
    <s v="Sales"/>
    <n v="6.2944444444444443"/>
    <x v="2"/>
    <n v="0"/>
    <n v="0"/>
  </r>
  <r>
    <s v="EMP057"/>
    <s v="Emily Hernandez"/>
    <s v="IT02"/>
    <d v="2016-02-25T00:00:00"/>
    <n v="76918"/>
    <n v="62"/>
    <s v="Active"/>
    <s v="Information Technology"/>
    <n v="10.366666666666667"/>
    <x v="0"/>
    <n v="0.02"/>
    <n v="1538.3600000000001"/>
  </r>
  <r>
    <s v="EMP016"/>
    <s v="Jane Williams"/>
    <s v="MKT04"/>
    <d v="2017-06-21T00:00:00"/>
    <n v="61408"/>
    <n v="48"/>
    <s v="Active"/>
    <s v="Marketing"/>
    <n v="9.0444444444444443"/>
    <x v="2"/>
    <n v="0"/>
    <n v="0"/>
  </r>
  <r>
    <s v="EMP070"/>
    <s v="Jane Miller"/>
    <s v="MKT04"/>
    <d v="2020-06-19T00:00:00"/>
    <n v="99990"/>
    <n v="54"/>
    <s v="Active"/>
    <s v="Marketing"/>
    <n v="6.05"/>
    <x v="0"/>
    <n v="0.02"/>
    <n v="1999.8"/>
  </r>
  <r>
    <s v="EMP025"/>
    <s v="Robert Jones"/>
    <s v="MKT04"/>
    <d v="2019-12-21T00:00:00"/>
    <n v="80385"/>
    <n v="68"/>
    <s v="Active"/>
    <s v="Marketing"/>
    <n v="6.5444444444444443"/>
    <x v="0"/>
    <n v="0.02"/>
    <n v="1607.7"/>
  </r>
  <r>
    <s v="EMP031"/>
    <s v="Thomas Rodriguez"/>
    <s v="SAL05"/>
    <d v="2023-08-31T00:00:00"/>
    <n v="65290"/>
    <n v="77"/>
    <s v="Active"/>
    <s v="Sales"/>
    <n v="2.8527777777777779"/>
    <x v="1"/>
    <n v="0.05"/>
    <n v="3264.5"/>
  </r>
  <r>
    <s v="EMP126"/>
    <s v="Emily Davis"/>
    <s v="IT02"/>
    <d v="2015-11-29T00:00:00"/>
    <n v="105765"/>
    <n v="42"/>
    <s v="Active"/>
    <s v="Information Technology"/>
    <n v="10.605555555555556"/>
    <x v="2"/>
    <n v="0"/>
    <n v="0"/>
  </r>
  <r>
    <s v="EMP109"/>
    <s v="James Martinez"/>
    <s v="SAL05"/>
    <d v="2017-06-13T00:00:00"/>
    <n v="102921"/>
    <n v="49"/>
    <s v="Active"/>
    <s v="Sales"/>
    <n v="9.0666666666666664"/>
    <x v="2"/>
    <n v="0"/>
    <n v="0"/>
  </r>
  <r>
    <s v="EMP066"/>
    <s v="Ashley Lopez"/>
    <s v="MKT04"/>
    <d v="2018-05-15T00:00:00"/>
    <n v="73984"/>
    <n v="93"/>
    <s v="Active"/>
    <s v="Marketing"/>
    <n v="8.1444444444444439"/>
    <x v="3"/>
    <n v="0.08"/>
    <n v="5918.72"/>
  </r>
  <r>
    <s v="EMP120"/>
    <s v="Amanda Gonzalez"/>
    <s v="IT02"/>
    <d v="2016-07-24T00:00:00"/>
    <n v="82713.428571428594"/>
    <n v="75"/>
    <s v="Active"/>
    <s v="Information Technology"/>
    <n v="9.9527777777777775"/>
    <x v="1"/>
    <n v="0.05"/>
    <n v="4135.6714285714297"/>
  </r>
  <r>
    <s v="EMP019"/>
    <s v="Michael Hernandez"/>
    <s v="FIN03"/>
    <d v="2017-07-12T00:00:00"/>
    <n v="118527"/>
    <n v="50"/>
    <s v="Active"/>
    <s v="Finance"/>
    <n v="8.9861111111111107"/>
    <x v="0"/>
    <n v="0.02"/>
    <n v="2370.54"/>
  </r>
  <r>
    <s v="EMP013"/>
    <s v="Richard Hernandez"/>
    <s v="MKT04"/>
    <d v="2021-06-06T00:00:00"/>
    <n v="107871"/>
    <n v="88"/>
    <s v="Active"/>
    <s v="Marketing"/>
    <n v="5.0861111111111112"/>
    <x v="3"/>
    <n v="0.08"/>
    <n v="8629.68"/>
  </r>
  <r>
    <s v="EMP010"/>
    <s v="Michael Rodriguez"/>
    <s v="IT02"/>
    <d v="2022-11-09T00:00:00"/>
    <n v="93956"/>
    <n v="50"/>
    <s v="Left"/>
    <s v="Information Technology"/>
    <n v="3.661111111111111"/>
    <x v="0"/>
    <n v="0.02"/>
    <n v="1879.1200000000001"/>
  </r>
  <r>
    <s v="EMP032"/>
    <s v="Jessica Johnson"/>
    <s v="FIN03"/>
    <d v="2016-07-14T00:00:00"/>
    <n v="100851"/>
    <n v="64"/>
    <s v="Active"/>
    <s v="Finance"/>
    <n v="9.9805555555555561"/>
    <x v="0"/>
    <n v="0.02"/>
    <n v="2017.02"/>
  </r>
  <r>
    <s v="EMP082"/>
    <s v="Ashley Williams"/>
    <s v="SAL05"/>
    <d v="2022-06-16T00:00:00"/>
    <n v="68655"/>
    <n v="32"/>
    <s v="Active"/>
    <s v="Sales"/>
    <n v="4.0583333333333336"/>
    <x v="2"/>
    <n v="0"/>
    <n v="0"/>
  </r>
  <r>
    <s v="EMP052"/>
    <s v="Williams"/>
    <s v="SAL05"/>
    <d v="2023-07-27T00:00:00"/>
    <n v="81205"/>
    <n v="59"/>
    <s v="Active"/>
    <s v="Sales"/>
    <n v="2.9444444444444446"/>
    <x v="0"/>
    <n v="0.02"/>
    <n v="1624.1000000000001"/>
  </r>
  <r>
    <s v="EMP129"/>
    <s v="John Wilson"/>
    <s v="SAL05"/>
    <d v="2019-09-24T00:00:00"/>
    <n v="77610"/>
    <n v="88"/>
    <s v="Active"/>
    <s v="Sales"/>
    <n v="6.7861111111111114"/>
    <x v="3"/>
    <n v="0.08"/>
    <n v="6208.8"/>
  </r>
  <r>
    <s v="EMP146"/>
    <s v="Thomas Rodriguez"/>
    <s v="IT02"/>
    <d v="2022-07-23T00:00:00"/>
    <n v="50873"/>
    <n v="90"/>
    <s v="Active"/>
    <s v="Information Technology"/>
    <n v="3.9555555555555557"/>
    <x v="3"/>
    <n v="0.08"/>
    <n v="4069.84"/>
  </r>
  <r>
    <s v="EMP099"/>
    <s v="Michael Wilson"/>
    <s v="FIN03"/>
    <d v="2013-05-18T00:00:00"/>
    <n v="85312"/>
    <n v="66"/>
    <s v="Active"/>
    <s v="Finance"/>
    <n v="13.136111111111111"/>
    <x v="0"/>
    <n v="0.02"/>
    <n v="1706.24"/>
  </r>
  <r>
    <s v="EMP015"/>
    <s v="John Rodriguez"/>
    <s v="SAL05"/>
    <d v="2015-07-17T00:00:00"/>
    <n v="82713.428571428594"/>
    <n v="68"/>
    <s v="Active"/>
    <s v="Sales"/>
    <n v="10.972222222222221"/>
    <x v="0"/>
    <n v="0.02"/>
    <n v="1654.2685714285719"/>
  </r>
  <r>
    <s v="EMP076"/>
    <s v="Thomas Hernandez"/>
    <s v="OPS06"/>
    <d v="2005-08-15T00:00:00"/>
    <n v="97055"/>
    <n v="80"/>
    <s v="Active"/>
    <s v="Operations"/>
    <n v="20.894444444444446"/>
    <x v="1"/>
    <n v="0.05"/>
    <n v="4852.75"/>
  </r>
  <r>
    <s v="EMP137"/>
    <s v="Michael Johnson"/>
    <s v="IT02"/>
    <d v="2023-09-26T00:00:00"/>
    <n v="66069"/>
    <n v="72"/>
    <s v="Active"/>
    <s v="Information Technology"/>
    <n v="2.7805555555555554"/>
    <x v="1"/>
    <n v="0.05"/>
    <n v="3303.4500000000003"/>
  </r>
  <r>
    <s v="EMP056"/>
    <s v="Sarah Brown"/>
    <s v="IT02"/>
    <d v="2010-06-19T00:00:00"/>
    <n v="90157"/>
    <n v="58"/>
    <s v="Active"/>
    <s v="Information Technology"/>
    <n v="16.05"/>
    <x v="0"/>
    <n v="0.02"/>
    <n v="1803.14"/>
  </r>
  <r>
    <s v="EMP125"/>
    <s v="Jane Martinez"/>
    <s v="HR01"/>
    <d v="2022-01-17T00:00:00"/>
    <n v="59899"/>
    <n v="78"/>
    <s v="Active"/>
    <s v="Human Resources"/>
    <n v="4.4722222222222223"/>
    <x v="1"/>
    <n v="0.05"/>
    <n v="2994.9500000000003"/>
  </r>
  <r>
    <s v="EMP085"/>
    <s v="Emily Jones"/>
    <s v="FIN03"/>
    <d v="2003-07-17T00:00:00"/>
    <n v="113389"/>
    <n v="30"/>
    <s v="Active"/>
    <s v="Finance"/>
    <n v="22.972222222222221"/>
    <x v="2"/>
    <n v="0"/>
    <n v="0"/>
  </r>
  <r>
    <s v="EMP106"/>
    <s v="Brown"/>
    <s v="IT02"/>
    <d v="2001-09-15T00:00:00"/>
    <n v="102691"/>
    <n v="52"/>
    <s v="Active"/>
    <s v="Information Technology"/>
    <n v="24.81111111111111"/>
    <x v="0"/>
    <n v="0.02"/>
    <n v="2053.8200000000002"/>
  </r>
  <r>
    <s v="EMP043"/>
    <s v="John Wilson"/>
    <s v="OPS06"/>
    <d v="2003-08-22T00:00:00"/>
    <n v="111845"/>
    <n v="98"/>
    <s v="Active"/>
    <s v="Operations"/>
    <n v="22.875"/>
    <x v="4"/>
    <n v="0.12"/>
    <n v="13421.4"/>
  </r>
  <r>
    <s v="EMP068"/>
    <s v="Melissa Brown"/>
    <s v="SAL05"/>
    <d v="2022-06-29T00:00:00"/>
    <n v="69219"/>
    <n v="93"/>
    <s v="Active"/>
    <s v="Sales"/>
    <n v="4.0222222222222221"/>
    <x v="3"/>
    <n v="0.08"/>
    <n v="5537.52"/>
  </r>
  <r>
    <s v="EMP128"/>
    <s v="Michael Smith"/>
    <s v="FIN03"/>
    <d v="2020-04-28T00:00:00"/>
    <n v="82713.428571428594"/>
    <n v="80"/>
    <s v="Left"/>
    <s v="Finance"/>
    <n v="6.1916666666666664"/>
    <x v="1"/>
    <n v="0.05"/>
    <n v="4135.6714285714297"/>
  </r>
  <r>
    <s v="EMP027"/>
    <s v="Sarah Miller"/>
    <s v="OPS06"/>
    <d v="2017-09-09T00:00:00"/>
    <n v="57514"/>
    <n v="68"/>
    <s v="Active"/>
    <s v="Operations"/>
    <n v="8.8277777777777775"/>
    <x v="0"/>
    <n v="0.02"/>
    <n v="1150.28"/>
  </r>
  <r>
    <s v="EMP136"/>
    <s v="Emily Wilson"/>
    <s v="SAL05"/>
    <d v="2018-03-22T00:00:00"/>
    <n v="86245"/>
    <n v="71"/>
    <s v="Left"/>
    <s v="Sales"/>
    <n v="8.2916666666666661"/>
    <x v="1"/>
    <n v="0.05"/>
    <n v="4312.25"/>
  </r>
  <r>
    <s v="EMP079"/>
    <s v="David Hernandez"/>
    <s v="SAL05"/>
    <d v="2020-07-05T00:00:00"/>
    <n v="52407"/>
    <n v="55"/>
    <s v="Active"/>
    <s v="Sales"/>
    <n v="6.0055555555555555"/>
    <x v="0"/>
    <n v="0.02"/>
    <n v="1048.1400000000001"/>
  </r>
  <r>
    <s v="EMP149"/>
    <s v="James Smith"/>
    <s v="OPS06"/>
    <d v="2019-03-25T00:00:00"/>
    <n v="66606"/>
    <n v="93"/>
    <s v="Resigned"/>
    <s v="Operations"/>
    <n v="7.2833333333333332"/>
    <x v="3"/>
    <n v="0.08"/>
    <n v="5328.4800000000005"/>
  </r>
  <r>
    <s v="EMP037"/>
    <s v="Sarah Williams"/>
    <s v="IT02"/>
    <d v="2019-09-08T00:00:00"/>
    <n v="81896"/>
    <n v="79"/>
    <s v="Resigned"/>
    <s v="Information Technology"/>
    <n v="6.8305555555555557"/>
    <x v="1"/>
    <n v="0.05"/>
    <n v="4094.8"/>
  </r>
  <r>
    <s v="EMP077"/>
    <s v="Amanda Lopez"/>
    <s v="SAL05"/>
    <d v="2016-07-14T00:00:00"/>
    <n v="78402"/>
    <n v="54"/>
    <s v="Active"/>
    <s v="Sales"/>
    <n v="9.9805555555555561"/>
    <x v="0"/>
    <n v="0.02"/>
    <n v="1568.04"/>
  </r>
  <r>
    <s v="EMP023"/>
    <s v="Thomas Lopez"/>
    <s v="OPS06"/>
    <d v="2016-04-10T00:00:00"/>
    <n v="105498"/>
    <n v="76"/>
    <s v="Active"/>
    <s v="Operations"/>
    <n v="10.241666666666667"/>
    <x v="1"/>
    <n v="0.05"/>
    <n v="5274.9000000000005"/>
  </r>
  <r>
    <s v="EMP133"/>
    <s v="Melissa Johnson"/>
    <s v="MKT04"/>
    <d v="2010-07-19T00:00:00"/>
    <n v="91749"/>
    <n v="72"/>
    <s v="Left"/>
    <s v="Marketing"/>
    <n v="15.966666666666667"/>
    <x v="1"/>
    <n v="0.05"/>
    <n v="4587.45"/>
  </r>
  <r>
    <s v="EMP141"/>
    <s v="Amanda Johnson"/>
    <s v="OPS06"/>
    <d v="2021-08-29T00:00:00"/>
    <n v="99935"/>
    <n v="84"/>
    <s v="Resigned"/>
    <s v="Operations"/>
    <n v="4.8555555555555552"/>
    <x v="1"/>
    <n v="0.05"/>
    <n v="4996.75"/>
  </r>
  <r>
    <s v="EMP012"/>
    <s v="John Davis"/>
    <s v="IT02"/>
    <d v="2017-01-26T00:00:00"/>
    <n v="83531"/>
    <n v="30"/>
    <s v="Left"/>
    <s v="Information Technology"/>
    <n v="9.4472222222222229"/>
    <x v="2"/>
    <n v="0"/>
    <n v="0"/>
  </r>
  <r>
    <s v="EMP080"/>
    <s v="James Johnson"/>
    <s v="MKT04"/>
    <d v="2020-05-30T00:00:00"/>
    <n v="75023"/>
    <n v="68"/>
    <s v="Active"/>
    <s v="Marketing"/>
    <n v="6.1027777777777779"/>
    <x v="0"/>
    <n v="0.02"/>
    <n v="1500.46"/>
  </r>
  <r>
    <s v="EMP069"/>
    <s v="Jane Davis"/>
    <s v="HR01"/>
    <d v="2022-02-20T00:00:00"/>
    <n v="93290"/>
    <n v="53"/>
    <s v="Active"/>
    <s v="Human Resources"/>
    <n v="4.3805555555555555"/>
    <x v="0"/>
    <n v="0.02"/>
    <n v="1865.8"/>
  </r>
  <r>
    <s v="EMP150"/>
    <s v="Richard Davis"/>
    <s v="OPS06"/>
    <d v="2016-09-15T00:00:00"/>
    <n v="115527"/>
    <n v="63"/>
    <s v="Resigned"/>
    <s v="Operations"/>
    <n v="9.8111111111111118"/>
    <x v="0"/>
    <n v="0.02"/>
    <n v="2310.54"/>
  </r>
  <r>
    <s v="EMP028"/>
    <s v="Thomas Rodriguez"/>
    <s v="FIN03"/>
    <d v="2019-10-07T00:00:00"/>
    <n v="55920"/>
    <n v="84"/>
    <s v="Active"/>
    <s v="Finance"/>
    <n v="6.75"/>
    <x v="1"/>
    <n v="0.05"/>
    <n v="2796"/>
  </r>
  <r>
    <s v="EMP087"/>
    <s v="Emily Johnson"/>
    <s v="SAL05"/>
    <d v="2018-12-30T00:00:00"/>
    <n v="80189"/>
    <n v="30"/>
    <s v="Active"/>
    <s v="Sales"/>
    <n v="7.5194444444444448"/>
    <x v="2"/>
    <n v="0"/>
    <n v="0"/>
  </r>
  <r>
    <s v="EMP119"/>
    <s v="Emily Garcia"/>
    <s v="HR01"/>
    <d v="2020-12-24T00:00:00"/>
    <n v="118947"/>
    <n v="96"/>
    <s v="Active"/>
    <s v="Human Resources"/>
    <n v="5.5361111111111114"/>
    <x v="4"/>
    <n v="0.12"/>
    <n v="14273.64"/>
  </r>
  <r>
    <s v="EMP042"/>
    <s v="Jane Anderson"/>
    <s v="IT02"/>
    <d v="2023-05-07T00:00:00"/>
    <n v="82713.428571428594"/>
    <n v="54"/>
    <s v="Active"/>
    <s v="Information Technology"/>
    <n v="3.1666666666666665"/>
    <x v="0"/>
    <n v="0.02"/>
    <n v="1654.2685714285719"/>
  </r>
  <r>
    <s v="EMP005"/>
    <s v="Thomas Garcia"/>
    <s v="OPS06"/>
    <d v="2020-11-13T00:00:00"/>
    <n v="82713.428571428594"/>
    <n v="75"/>
    <s v="Active"/>
    <s v="Operations"/>
    <n v="5.65"/>
    <x v="1"/>
    <n v="0.05"/>
    <n v="4135.6714285714297"/>
  </r>
  <r>
    <s v="EMP033"/>
    <s v="David Martinez"/>
    <s v="HR01"/>
    <d v="2018-02-07T00:00:00"/>
    <n v="91655"/>
    <n v="95"/>
    <s v="Active"/>
    <s v="Human Resources"/>
    <n v="8.4166666666666661"/>
    <x v="4"/>
    <n v="0.12"/>
    <n v="10998.6"/>
  </r>
  <r>
    <s v="EMP061"/>
    <s v="Emily Brown"/>
    <s v="IT02"/>
    <d v="2023-11-25T00:00:00"/>
    <n v="49435"/>
    <n v="68"/>
    <s v="Left"/>
    <s v="Information Technology"/>
    <n v="2.6166666666666667"/>
    <x v="0"/>
    <n v="0.02"/>
    <n v="988.7"/>
  </r>
  <r>
    <s v="EMP102"/>
    <s v="Emily Wilson"/>
    <s v="SAL05"/>
    <d v="2023-10-18T00:00:00"/>
    <n v="110381"/>
    <n v="93"/>
    <s v="Active"/>
    <s v="Sales"/>
    <n v="2.7194444444444446"/>
    <x v="3"/>
    <n v="0.08"/>
    <n v="8830.48"/>
  </r>
  <r>
    <s v="EMP067"/>
    <s v="Michael Anderson"/>
    <s v="HR01"/>
    <d v="2020-05-09T00:00:00"/>
    <n v="114748"/>
    <n v="33"/>
    <s v="Active"/>
    <s v="Human Resources"/>
    <n v="6.1611111111111114"/>
    <x v="2"/>
    <n v="0"/>
    <n v="0"/>
  </r>
  <r>
    <s v="EMP017"/>
    <s v="Robert Johnson"/>
    <s v="OPS06"/>
    <d v="2017-06-03T00:00:00"/>
    <n v="63302"/>
    <n v="91"/>
    <s v="Active"/>
    <s v="Operations"/>
    <n v="9.094444444444445"/>
    <x v="3"/>
    <n v="0.08"/>
    <n v="5064.16"/>
  </r>
  <r>
    <s v="EMP123"/>
    <s v="Robert Miller"/>
    <s v="IT02"/>
    <d v="2015-04-28T00:00:00"/>
    <n v="75519"/>
    <n v="64"/>
    <s v="Active"/>
    <s v="Information Technology"/>
    <n v="11.191666666666666"/>
    <x v="0"/>
    <n v="0.02"/>
    <n v="1510.38"/>
  </r>
  <r>
    <s v="EMP011"/>
    <s v="Jane Davis"/>
    <s v="FIN03"/>
    <d v="2017-04-13T00:00:00"/>
    <n v="103891"/>
    <n v="80"/>
    <s v="Active"/>
    <s v="Finance"/>
    <n v="9.2333333333333325"/>
    <x v="1"/>
    <n v="0.05"/>
    <n v="5194.55"/>
  </r>
  <r>
    <s v="EMP091"/>
    <s v="Thomas Davis"/>
    <s v="OPS06"/>
    <d v="2022-09-23T00:00:00"/>
    <n v="82713.428571428594"/>
    <n v="46"/>
    <s v="Left"/>
    <s v="Operations"/>
    <n v="3.7888888888888888"/>
    <x v="2"/>
    <n v="0"/>
    <n v="0"/>
  </r>
  <r>
    <s v="EMP145"/>
    <s v="Thomas Jones"/>
    <s v="MKT04"/>
    <d v="2016-11-11T00:00:00"/>
    <n v="50936"/>
    <n v="99"/>
    <s v="Active"/>
    <s v="Marketing"/>
    <n v="9.655555555555555"/>
    <x v="4"/>
    <n v="0.12"/>
    <n v="6112.32"/>
  </r>
  <r>
    <s v="EMP001"/>
    <s v="Michael Miller"/>
    <s v="SAL05"/>
    <d v="2024-03-17T00:00:00"/>
    <n v="111240"/>
    <n v="68"/>
    <s v="Active"/>
    <s v="Sales"/>
    <n v="2.3055555555555554"/>
    <x v="0"/>
    <n v="0.02"/>
    <n v="2224.8000000000002"/>
  </r>
  <r>
    <s v="EMP113"/>
    <s v="Richard Gonzalez"/>
    <s v="HR01"/>
    <d v="2005-05-19T00:00:00"/>
    <n v="51567"/>
    <n v="87"/>
    <s v="Resigned"/>
    <s v="Human Resources"/>
    <n v="21.133333333333333"/>
    <x v="3"/>
    <n v="0.08"/>
    <n v="4125.3599999999997"/>
  </r>
  <r>
    <s v="EMP065"/>
    <s v="Melissa Williams"/>
    <s v="HR01"/>
    <d v="2021-07-25T00:00:00"/>
    <n v="82713.428571428594"/>
    <n v="36"/>
    <s v="Active"/>
    <s v="Human Resources"/>
    <n v="4.95"/>
    <x v="2"/>
    <n v="0"/>
    <n v="0"/>
  </r>
  <r>
    <s v="EMP045"/>
    <s v="Robert Miller"/>
    <s v="HR01"/>
    <d v="2017-09-30T00:00:00"/>
    <n v="55270"/>
    <n v="87"/>
    <s v="Active"/>
    <s v="Human Resources"/>
    <n v="8.7694444444444439"/>
    <x v="3"/>
    <n v="0.08"/>
    <n v="4421.6000000000004"/>
  </r>
  <r>
    <s v="EMP083"/>
    <s v="William Garcia"/>
    <s v="SAL05"/>
    <d v="2015-07-07T00:00:00"/>
    <n v="65235"/>
    <n v="97"/>
    <s v="Active"/>
    <s v="Sales"/>
    <n v="11"/>
    <x v="4"/>
    <n v="0.12"/>
    <n v="7828.2"/>
  </r>
  <r>
    <s v="EMP029"/>
    <s v="John Gonzalez"/>
    <s v="SAL05"/>
    <d v="2018-02-07T00:00:00"/>
    <n v="82713.428571428594"/>
    <n v="72"/>
    <s v="Left"/>
    <s v="Sales"/>
    <n v="8.4166666666666661"/>
    <x v="1"/>
    <n v="0.05"/>
    <n v="4135.6714285714297"/>
  </r>
  <r>
    <s v="EMP041"/>
    <s v="James Gonzalez"/>
    <s v="SAL05"/>
    <d v="2022-09-15T00:00:00"/>
    <n v="82713.428571428594"/>
    <n v="65"/>
    <s v="Left"/>
    <s v="Sales"/>
    <n v="3.8111111111111109"/>
    <x v="0"/>
    <n v="0.02"/>
    <n v="1654.2685714285719"/>
  </r>
  <r>
    <s v="EMP026"/>
    <s v="Jane Gonzalez"/>
    <s v="SAL05"/>
    <d v="2015-02-09T00:00:00"/>
    <n v="82713.428571428594"/>
    <n v="67"/>
    <s v="Active"/>
    <s v="Sales"/>
    <n v="11.411111111111111"/>
    <x v="0"/>
    <n v="0.02"/>
    <n v="1654.2685714285719"/>
  </r>
  <r>
    <s v="EMP024"/>
    <s v="David Wilson"/>
    <s v="OPS06"/>
    <d v="2011-10-16T00:00:00"/>
    <n v="48823"/>
    <n v="34"/>
    <s v="Active"/>
    <s v="Operations"/>
    <n v="14.725"/>
    <x v="2"/>
    <n v="0"/>
    <n v="0"/>
  </r>
  <r>
    <s v="EMP111"/>
    <s v="Jane Gonzalez"/>
    <s v="FIN03"/>
    <d v="2019-04-20T00:00:00"/>
    <n v="45196"/>
    <n v="78"/>
    <s v="Left"/>
    <s v="Finance"/>
    <n v="7.2138888888888886"/>
    <x v="1"/>
    <n v="0.05"/>
    <n v="2259.8000000000002"/>
  </r>
  <r>
    <s v="EMP040"/>
    <s v="Jane Rodriguez"/>
    <s v="IT02"/>
    <d v="2017-02-19T00:00:00"/>
    <n v="86246"/>
    <n v="61"/>
    <s v="Active"/>
    <s v="Information Technology"/>
    <n v="9.3833333333333329"/>
    <x v="0"/>
    <n v="0.02"/>
    <n v="1724.92"/>
  </r>
  <r>
    <s v="EMP086"/>
    <s v="Emily Miller"/>
    <s v="SAL05"/>
    <d v="2021-09-07T00:00:00"/>
    <n v="70359"/>
    <n v="74"/>
    <s v="Left"/>
    <s v="Sales"/>
    <n v="4.833333333333333"/>
    <x v="1"/>
    <n v="0.05"/>
    <n v="3517.9500000000003"/>
  </r>
  <r>
    <s v="EMP124"/>
    <s v="Sarah Miller"/>
    <s v="MKT04"/>
    <d v="2019-05-14T00:00:00"/>
    <n v="82713.428571428594"/>
    <n v="94"/>
    <s v="Active"/>
    <s v="Marketing"/>
    <n v="7.1472222222222221"/>
    <x v="3"/>
    <n v="0.08"/>
    <n v="6617.0742857142877"/>
  </r>
  <r>
    <s v="EMP132"/>
    <s v="Jessica Garcia"/>
    <s v="OPS06"/>
    <d v="2015-11-22T00:00:00"/>
    <n v="86480"/>
    <n v="68"/>
    <s v="Active"/>
    <s v="Operations"/>
    <n v="10.625"/>
    <x v="0"/>
    <n v="0.02"/>
    <n v="1729.6000000000001"/>
  </r>
  <r>
    <s v="EMP048"/>
    <s v="Richard Smith"/>
    <s v="HR01"/>
    <d v="2018-09-29T00:00:00"/>
    <n v="47694"/>
    <n v="75"/>
    <s v="Active"/>
    <s v="Human Resources"/>
    <n v="7.7722222222222221"/>
    <x v="1"/>
    <n v="0.05"/>
    <n v="2384.7000000000003"/>
  </r>
  <r>
    <s v="EMP114"/>
    <s v="Melissa Wilson"/>
    <s v="IT02"/>
    <d v="2023-02-09T00:00:00"/>
    <n v="83724"/>
    <n v="81"/>
    <s v="Resigned"/>
    <s v="Information Technology"/>
    <n v="3.411111111111111"/>
    <x v="1"/>
    <n v="0.05"/>
    <n v="4186.2"/>
  </r>
  <r>
    <s v="EMP062"/>
    <s v="Thomas Williams"/>
    <s v="FIN03"/>
    <d v="2022-07-17T00:00:00"/>
    <n v="98299"/>
    <n v="61"/>
    <s v="Active"/>
    <s v="Finance"/>
    <n v="3.9722222222222223"/>
    <x v="0"/>
    <n v="0.02"/>
    <n v="1965.98"/>
  </r>
  <r>
    <s v="EMP074"/>
    <s v="David Williams"/>
    <s v="FIN03"/>
    <d v="2007-02-21T00:00:00"/>
    <n v="82713.428571428594"/>
    <n v="68"/>
    <s v="Active"/>
    <s v="Finance"/>
    <n v="19.377777777777776"/>
    <x v="0"/>
    <n v="0.02"/>
    <n v="1654.2685714285719"/>
  </r>
  <r>
    <s v="EMP034"/>
    <s v="John Johnson"/>
    <s v="IT02"/>
    <d v="2023-10-04T00:00:00"/>
    <n v="52287"/>
    <n v="70"/>
    <s v="Active"/>
    <s v="Information Technology"/>
    <n v="2.7583333333333333"/>
    <x v="1"/>
    <n v="0.05"/>
    <n v="2614.3500000000004"/>
  </r>
  <r>
    <s v="EMP105"/>
    <s v="Richard Gonzalez"/>
    <s v="IT02"/>
    <d v="2020-08-30T00:00:00"/>
    <n v="82633"/>
    <n v="98"/>
    <s v="Active"/>
    <s v="Information Technology"/>
    <n v="5.8527777777777779"/>
    <x v="4"/>
    <n v="0.12"/>
    <n v="9915.9599999999991"/>
  </r>
  <r>
    <s v="EMP118"/>
    <s v="Melissa Anderson"/>
    <s v="OPS06"/>
    <d v="2021-08-14T00:00:00"/>
    <n v="46508"/>
    <n v="34"/>
    <s v="Active"/>
    <s v="Operations"/>
    <n v="4.8972222222222221"/>
    <x v="2"/>
    <n v="0"/>
    <n v="0"/>
  </r>
  <r>
    <s v="EMP063"/>
    <s v="Emily Gonzalez"/>
    <s v="HR01"/>
    <d v="2027-11-19T00:00:00"/>
    <n v="86232"/>
    <n v="93"/>
    <s v="Active"/>
    <s v="Human Resources"/>
    <n v="1.3666666666666667"/>
    <x v="3"/>
    <n v="0.08"/>
    <n v="6898.56"/>
  </r>
  <r>
    <s v="EMP094"/>
    <s v="Jane Davis"/>
    <s v="IT02"/>
    <d v="2025-05-17T00:00:00"/>
    <n v="77545"/>
    <n v="48"/>
    <s v="Active"/>
    <s v="Information Technology"/>
    <n v="1.1388888888888888"/>
    <x v="2"/>
    <n v="0"/>
    <n v="0"/>
  </r>
  <r>
    <s v="EMP097"/>
    <s v="William Gonzalez"/>
    <s v="OPS06"/>
    <d v="2018-02-12T00:00:00"/>
    <n v="68683"/>
    <n v="90"/>
    <s v="Active"/>
    <s v="Operations"/>
    <n v="8.4027777777777786"/>
    <x v="3"/>
    <n v="0.08"/>
    <n v="5494.64"/>
  </r>
  <r>
    <s v="EMP054"/>
    <s v="Thomas Jones"/>
    <s v="FIN03"/>
    <d v="2019-06-23T00:00:00"/>
    <n v="83932"/>
    <n v="57"/>
    <s v="Left"/>
    <s v="Finance"/>
    <n v="7.0388888888888888"/>
    <x v="0"/>
    <n v="0.02"/>
    <n v="1678.64"/>
  </r>
  <r>
    <s v="EMP006"/>
    <s v="Jessica Anderson"/>
    <s v="HR01"/>
    <d v="2015-10-27T00:00:00"/>
    <n v="56073"/>
    <n v="79"/>
    <s v="Active"/>
    <s v="Human Resources"/>
    <n v="10.694444444444445"/>
    <x v="1"/>
    <n v="0.05"/>
    <n v="2803.65"/>
  </r>
  <r>
    <s v="EMP110"/>
    <s v="Melissa Johnson"/>
    <s v="IT02"/>
    <d v="2018-06-19T00:00:00"/>
    <n v="88056"/>
    <n v="66"/>
    <s v="Active"/>
    <s v="Information Technology"/>
    <n v="8.0500000000000007"/>
    <x v="0"/>
    <n v="0.02"/>
    <n v="1761.1200000000001"/>
  </r>
  <r>
    <s v="EMP147"/>
    <s v="Thomas Miller"/>
    <s v="OPS06"/>
    <d v="2018-12-01T00:00:00"/>
    <n v="67414"/>
    <n v="84"/>
    <s v="Left"/>
    <s v="Operations"/>
    <n v="7.6"/>
    <x v="1"/>
    <n v="0.05"/>
    <n v="3370.7000000000003"/>
  </r>
  <r>
    <s v="EMP050"/>
    <s v="William Gonzalez"/>
    <s v="SAL05"/>
    <d v="2015-04-01T00:00:00"/>
    <n v="115288"/>
    <n v="61"/>
    <s v="Active"/>
    <s v="Sales"/>
    <n v="11.266666666666667"/>
    <x v="0"/>
    <n v="0.02"/>
    <n v="2305.7600000000002"/>
  </r>
  <r>
    <s v="EMP036"/>
    <s v="Smith"/>
    <s v="SAL05"/>
    <d v="2018-05-12T00:00:00"/>
    <n v="80140"/>
    <n v="58"/>
    <s v="Active"/>
    <s v="Sales"/>
    <n v="8.1527777777777786"/>
    <x v="0"/>
    <n v="0.02"/>
    <n v="1602.8"/>
  </r>
  <r>
    <s v="EMP081"/>
    <s v="John Johnson"/>
    <s v="IT02"/>
    <d v="2021-10-13T00:00:00"/>
    <n v="73087"/>
    <n v="69"/>
    <s v="Active"/>
    <s v="Information Technology"/>
    <n v="4.7333333333333334"/>
    <x v="0"/>
    <n v="0.02"/>
    <n v="1461.74"/>
  </r>
  <r>
    <s v="EMP078"/>
    <s v="Jane Johnson"/>
    <s v="SAL05"/>
    <d v="2020-07-09T00:00:00"/>
    <n v="95292"/>
    <n v="34"/>
    <s v="Active"/>
    <s v="Sales"/>
    <n v="5.9944444444444445"/>
    <x v="2"/>
    <n v="0"/>
    <n v="0"/>
  </r>
  <r>
    <s v="EMP035"/>
    <s v="John Jones"/>
    <s v="IT02"/>
    <d v="2019-03-08T00:00:00"/>
    <n v="82713.428571428594"/>
    <n v="33"/>
    <s v="Active"/>
    <s v="Information Technology"/>
    <n v="7.3305555555555557"/>
    <x v="2"/>
    <n v="0"/>
    <n v="0"/>
  </r>
  <r>
    <s v="EMP047"/>
    <s v="Jane Lopez"/>
    <s v="MKT04"/>
    <d v="2011-03-15T00:00:00"/>
    <n v="101750"/>
    <n v="84"/>
    <s v="Left"/>
    <s v="Marketing"/>
    <n v="15.311111111111112"/>
    <x v="1"/>
    <n v="0.05"/>
    <n v="5087.5"/>
  </r>
  <r>
    <s v="EMP008"/>
    <s v="Melissa Gonzalez"/>
    <s v="MKT04"/>
    <d v="2019-02-17T00:00:00"/>
    <n v="82992"/>
    <n v="79"/>
    <s v="Active"/>
    <s v="Marketing"/>
    <n v="7.3888888888888893"/>
    <x v="1"/>
    <n v="0.05"/>
    <n v="4149.6000000000004"/>
  </r>
  <r>
    <s v="EMP044"/>
    <s v="William Davis"/>
    <s v="IT02"/>
    <d v="2023-09-05T00:00:00"/>
    <n v="49942"/>
    <n v="51"/>
    <s v="Active"/>
    <s v="Information Technology"/>
    <n v="2.838888888888889"/>
    <x v="0"/>
    <n v="0.02"/>
    <n v="998.84"/>
  </r>
  <r>
    <s v="EMP071"/>
    <s v="John Smith"/>
    <s v="OPS06"/>
    <d v="2018-01-22T00:00:00"/>
    <n v="89060"/>
    <n v="58"/>
    <s v="Active"/>
    <s v="Operations"/>
    <n v="8.4583333333333339"/>
    <x v="0"/>
    <n v="0.02"/>
    <n v="1781.2"/>
  </r>
  <r>
    <s v="EMP115"/>
    <s v="James Gonzalez"/>
    <s v="IT02"/>
    <d v="2020-02-18T00:00:00"/>
    <n v="53786"/>
    <n v="98"/>
    <s v="Active"/>
    <s v="Information Technology"/>
    <n v="6.3861111111111111"/>
    <x v="4"/>
    <n v="0.12"/>
    <n v="6454.32"/>
  </r>
  <r>
    <s v="EMP092"/>
    <s v="Emily Johnson"/>
    <s v="OPS06"/>
    <d v="2016-05-22T00:00:00"/>
    <n v="81167"/>
    <n v="68"/>
    <s v="Active"/>
    <s v="Operations"/>
    <n v="10.125"/>
    <x v="0"/>
    <n v="0.02"/>
    <n v="1623.3400000000001"/>
  </r>
  <r>
    <s v="EMP084"/>
    <s v="William Williams"/>
    <s v="MKT04"/>
    <d v="2021-02-06T00:00:00"/>
    <n v="66688"/>
    <n v="40"/>
    <s v="Left"/>
    <s v="Marketing"/>
    <n v="5.4194444444444443"/>
    <x v="2"/>
    <n v="0"/>
    <n v="0"/>
  </r>
  <r>
    <s v="EMP142"/>
    <s v="James Jones"/>
    <s v="IT02"/>
    <d v="2021-07-17T00:00:00"/>
    <n v="91672"/>
    <n v="88"/>
    <s v="Active"/>
    <s v="Information Technology"/>
    <n v="4.9722222222222223"/>
    <x v="3"/>
    <n v="0.08"/>
    <n v="7333.76"/>
  </r>
  <r>
    <s v="EMP143"/>
    <s v="Jessica Gonzalez"/>
    <s v="HR01"/>
    <d v="2013-11-16T00:00:00"/>
    <n v="77737"/>
    <n v="77"/>
    <s v="Active"/>
    <s v="Human Resources"/>
    <n v="12.641666666666667"/>
    <x v="1"/>
    <n v="0.05"/>
    <n v="3886.8500000000004"/>
  </r>
  <r>
    <s v="EMP090"/>
    <s v="Sarah Miller"/>
    <s v="SAL05"/>
    <d v="2019-02-17T00:00:00"/>
    <n v="95686"/>
    <n v="91"/>
    <s v="Active"/>
    <s v="Sales"/>
    <n v="7.3888888888888893"/>
    <x v="3"/>
    <n v="0.08"/>
    <n v="7654.88"/>
  </r>
  <r>
    <s v="EMP009"/>
    <s v="Jessica Smith"/>
    <s v="SAL05"/>
    <d v="2016-12-09T00:00:00"/>
    <n v="114681"/>
    <n v="36"/>
    <s v="Active"/>
    <s v="Sales"/>
    <n v="9.5777777777777775"/>
    <x v="2"/>
    <n v="0"/>
    <n v="0"/>
  </r>
  <r>
    <s v="EMP014"/>
    <s v="Thomas Jones"/>
    <s v="OPS06"/>
    <d v="2013-08-21T00:00:00"/>
    <n v="109121"/>
    <n v="72"/>
    <s v="Active"/>
    <s v="Operations"/>
    <n v="12.877777777777778"/>
    <x v="1"/>
    <n v="0.05"/>
    <n v="5456.05"/>
  </r>
  <r>
    <s v="EMP060"/>
    <s v="Amanda Brown"/>
    <s v="MKT04"/>
    <d v="2020-06-14T00:00:00"/>
    <n v="112791"/>
    <n v="87"/>
    <s v="Active"/>
    <s v="Marketing"/>
    <n v="6.0638888888888891"/>
    <x v="3"/>
    <n v="0.08"/>
    <n v="9023.2800000000007"/>
  </r>
  <r>
    <s v="EMP135"/>
    <s v="Robert Martinez"/>
    <s v="IT02"/>
    <d v="2005-07-22T00:00:00"/>
    <n v="118008"/>
    <n v="71"/>
    <s v="Active"/>
    <s v="Information Technology"/>
    <n v="20.958333333333332"/>
    <x v="1"/>
    <n v="0.05"/>
    <n v="5900.4000000000005"/>
  </r>
  <r>
    <s v="EMP004"/>
    <s v="Thomas Miller"/>
    <s v="IT02"/>
    <d v="2016-07-10T00:00:00"/>
    <n v="74370"/>
    <n v="82"/>
    <s v="Active"/>
    <s v="Information Technology"/>
    <n v="9.9916666666666671"/>
    <x v="1"/>
    <n v="0.05"/>
    <n v="3718.5"/>
  </r>
  <r>
    <s v="EMP018"/>
    <s v="David Rodriguez"/>
    <s v="IT02"/>
    <d v="2022-04-23T00:00:00"/>
    <n v="77819"/>
    <n v="79"/>
    <s v="Active"/>
    <s v="Information Technology"/>
    <n v="4.2055555555555557"/>
    <x v="1"/>
    <n v="0.05"/>
    <n v="3890.9500000000003"/>
  </r>
  <r>
    <s v="EMP039"/>
    <s v="Jane Miller"/>
    <s v="MKT04"/>
    <d v="2017-05-10T00:00:00"/>
    <n v="48748"/>
    <n v="83"/>
    <s v="Active"/>
    <s v="Marketing"/>
    <n v="9.1583333333333332"/>
    <x v="1"/>
    <n v="0.05"/>
    <n v="2437.4"/>
  </r>
  <r>
    <s v="EMP073"/>
    <s v="James Rodriguez"/>
    <s v="OPS06"/>
    <d v="2020-05-20T00:00:00"/>
    <n v="101997"/>
    <n v="38"/>
    <s v="Resigned"/>
    <s v="Operations"/>
    <n v="6.1305555555555555"/>
    <x v="2"/>
    <n v="0"/>
    <n v="0"/>
  </r>
  <r>
    <s v="EMP138"/>
    <s v="Sarah Rodriguez"/>
    <s v="HR01"/>
    <d v="2023-04-20T00:00:00"/>
    <n v="115260"/>
    <n v="77"/>
    <s v="Active"/>
    <s v="Human Resources"/>
    <n v="3.213888888888889"/>
    <x v="1"/>
    <n v="0.05"/>
    <n v="5763"/>
  </r>
  <r>
    <s v="EMP007"/>
    <s v="Sarah Wilson"/>
    <s v="SAL05"/>
    <d v="2021-10-31T00:00:00"/>
    <n v="82713.428571428594"/>
    <n v="49"/>
    <s v="Active"/>
    <s v="Sales"/>
    <n v="4.6861111111111109"/>
    <x v="2"/>
    <n v="0"/>
    <n v="0"/>
  </r>
  <r>
    <s v="EMP144"/>
    <s v="Melissa Brown"/>
    <s v="IT02"/>
    <d v="2024-10-21T00:00:00"/>
    <n v="82713.428571428594"/>
    <n v="69"/>
    <s v="Left"/>
    <s v="Information Technology"/>
    <n v="1.711111111111111"/>
    <x v="0"/>
    <n v="0.02"/>
    <n v="1654.2685714285719"/>
  </r>
  <r>
    <s v="EMP101"/>
    <s v="Robert Williams"/>
    <s v="SAL05"/>
    <d v="2017-09-08T00:00:00"/>
    <n v="82713.428571428594"/>
    <n v="76"/>
    <s v="Active"/>
    <s v="Sales"/>
    <n v="8.8305555555555557"/>
    <x v="1"/>
    <n v="0.05"/>
    <n v="4135.6714285714297"/>
  </r>
  <r>
    <s v="EMP003"/>
    <s v="Melissa Rodriguez"/>
    <s v="OPS06"/>
    <d v="2023-04-01T00:00:00"/>
    <n v="60623"/>
    <n v="78"/>
    <s v="Active"/>
    <s v="Operations"/>
    <n v="3.2666666666666666"/>
    <x v="1"/>
    <n v="0.05"/>
    <n v="3031.15"/>
  </r>
  <r>
    <s v="EMP121"/>
    <s v="James Johnson"/>
    <s v="HR01"/>
    <d v="2010-08-20T00:00:00"/>
    <n v="68092"/>
    <n v="93"/>
    <s v="Active"/>
    <s v="Human Resources"/>
    <n v="15.880555555555556"/>
    <x v="3"/>
    <n v="0.08"/>
    <n v="5447.36"/>
  </r>
  <r>
    <s v="EMP064"/>
    <s v="Michael Wilson"/>
    <s v="MKT04"/>
    <d v="2022-02-04T00:00:00"/>
    <n v="88155"/>
    <n v="68"/>
    <s v="Active"/>
    <s v="Marketing"/>
    <n v="4.4249999999999998"/>
    <x v="0"/>
    <n v="0.02"/>
    <n v="1763.1000000000001"/>
  </r>
  <r>
    <s v="EMP116"/>
    <s v="William Jones"/>
    <s v="MKT04"/>
    <d v="2024-03-18T00:00:00"/>
    <n v="107903"/>
    <n v="42"/>
    <s v="Active"/>
    <s v="Marketing"/>
    <n v="2.3027777777777776"/>
    <x v="2"/>
    <n v="0"/>
    <n v="0"/>
  </r>
  <r>
    <s v="EMP055"/>
    <s v="William Williams"/>
    <s v="IT02"/>
    <d v="2018-07-24T00:00:00"/>
    <n v="62818"/>
    <n v="34"/>
    <s v="Active"/>
    <s v="Information Technology"/>
    <n v="7.9527777777777775"/>
    <x v="2"/>
    <n v="0"/>
    <n v="0"/>
  </r>
  <r>
    <s v="EMP108"/>
    <s v="David Williams"/>
    <s v="HR01"/>
    <d v="2018-07-20T00:00:00"/>
    <n v="85151"/>
    <n v="35"/>
    <s v="Active"/>
    <s v="Human Resources"/>
    <n v="7.9638888888888886"/>
    <x v="2"/>
    <n v="0"/>
    <n v="0"/>
  </r>
  <r>
    <s v="EMP051"/>
    <s v="Jane Davis"/>
    <s v="FIN03"/>
    <d v="2004-03-16T00:00:00"/>
    <n v="46390"/>
    <n v="95"/>
    <s v="Active"/>
    <s v="Finance"/>
    <n v="22.308333333333334"/>
    <x v="4"/>
    <n v="0.12"/>
    <n v="5566.8"/>
  </r>
  <r>
    <s v="EMP059"/>
    <s v="John Martinez"/>
    <s v="HR01"/>
    <d v="2022-03-23T00:00:00"/>
    <n v="111920"/>
    <n v="90"/>
    <s v="Left"/>
    <s v="Human Resources"/>
    <n v="4.2888888888888888"/>
    <x v="3"/>
    <n v="0.08"/>
    <n v="8953.6"/>
  </r>
  <r>
    <s v="EMP049"/>
    <s v="David Anderson"/>
    <s v="HR01"/>
    <d v="2028-07-17T00:00:00"/>
    <n v="115618"/>
    <n v="42"/>
    <s v="Active"/>
    <s v="Human Resources"/>
    <n v="2.0277777777777777"/>
    <x v="2"/>
    <n v="0"/>
    <n v="0"/>
  </r>
  <r>
    <s v="EMP089"/>
    <s v="Sarah Smith"/>
    <s v="SAL05"/>
    <d v="2023-05-11T00:00:00"/>
    <n v="110618"/>
    <n v="88"/>
    <s v="Resigned"/>
    <s v="Sales"/>
    <n v="3.1555555555555554"/>
    <x v="3"/>
    <n v="0.08"/>
    <n v="8849.44"/>
  </r>
  <r>
    <s v="EMP022"/>
    <s v="Melissa Hernandez"/>
    <s v="OPS06"/>
    <d v="2019-03-22T00:00:00"/>
    <n v="108395"/>
    <n v="78"/>
    <s v="Left"/>
    <s v="Operations"/>
    <n v="7.291666666666667"/>
    <x v="1"/>
    <n v="0.05"/>
    <n v="5419.75"/>
  </r>
  <r>
    <s v="EMP058"/>
    <s v="Melissa Johnson"/>
    <s v="FIN03"/>
    <d v="2017-12-22T00:00:00"/>
    <n v="88005"/>
    <n v="69"/>
    <s v="Active"/>
    <s v="Finance"/>
    <n v="8.5416666666666661"/>
    <x v="0"/>
    <n v="0.02"/>
    <n v="1760.1000000000001"/>
  </r>
  <r>
    <s v="EMP130"/>
    <s v="Jane Garcia"/>
    <s v="MKT04"/>
    <d v="2021-08-29T00:00:00"/>
    <n v="83007"/>
    <n v="82"/>
    <s v="Active"/>
    <s v="Marketing"/>
    <n v="4.8555555555555552"/>
    <x v="1"/>
    <n v="0.05"/>
    <n v="4150.3500000000004"/>
  </r>
  <r>
    <s v="EMP038"/>
    <s v="David Davis"/>
    <s v="IT02"/>
    <d v="2018-09-17T00:00:00"/>
    <n v="61547"/>
    <n v="68"/>
    <s v="Active"/>
    <s v="Information Technology"/>
    <n v="7.8055555555555554"/>
    <x v="0"/>
    <n v="0.02"/>
    <n v="1230.94"/>
  </r>
  <r>
    <s v="EMP148"/>
    <s v="James Wilson"/>
    <s v="SAL05"/>
    <d v="2021-06-28T00:00:00"/>
    <n v="82713.428571428594"/>
    <n v="52"/>
    <s v="Active"/>
    <s v="Sales"/>
    <n v="5.0250000000000004"/>
    <x v="0"/>
    <n v="0.02"/>
    <n v="1654.2685714285719"/>
  </r>
  <r>
    <s v="EMP002"/>
    <s v="Richard Johnson"/>
    <s v="OPS06"/>
    <d v="2003-10-17T00:00:00"/>
    <n v="50399"/>
    <n v="92"/>
    <s v="Left"/>
    <s v="Operations"/>
    <n v="22.722222222222221"/>
    <x v="3"/>
    <n v="0.08"/>
    <n v="4031.92"/>
  </r>
  <r>
    <s v="EMP053"/>
    <s v="Richard Williams"/>
    <s v="FIN03"/>
    <d v="2015-10-22T00:00:00"/>
    <n v="82713.428571428594"/>
    <n v="62"/>
    <s v="Active"/>
    <s v="Finance"/>
    <n v="10.708333333333334"/>
    <x v="0"/>
    <n v="0.02"/>
    <n v="1654.2685714285719"/>
  </r>
  <r>
    <s v="EMP131"/>
    <s v="John Hernandez"/>
    <s v="OPS06"/>
    <d v="2018-06-06T00:00:00"/>
    <n v="52720"/>
    <n v="68"/>
    <s v="Active"/>
    <s v="Operations"/>
    <n v="8.0861111111111104"/>
    <x v="0"/>
    <n v="0.02"/>
    <n v="1054.4000000000001"/>
  </r>
  <r>
    <s v="EMP104"/>
    <s v="Sarah Gonzalez"/>
    <s v="OPS06"/>
    <d v="2017-07-16T00:00:00"/>
    <n v="65065"/>
    <n v="98"/>
    <s v="Active"/>
    <s v="Operations"/>
    <n v="8.9749999999999996"/>
    <x v="4"/>
    <n v="0.12"/>
    <n v="7807.7999999999993"/>
  </r>
  <r>
    <s v="EMP100"/>
    <s v="Melissa Hernandez"/>
    <s v="SAL05"/>
    <d v="2015-06-20T00:00:00"/>
    <n v="82713.428571428594"/>
    <n v="94"/>
    <s v="Resigned"/>
    <s v="Sales"/>
    <n v="11.047222222222222"/>
    <x v="3"/>
    <n v="0.08"/>
    <n v="6617.0742857142877"/>
  </r>
  <r>
    <s v="EMP117"/>
    <s v="Melissa Hernandez"/>
    <s v="OPS06"/>
    <d v="2019-05-24T00:00:00"/>
    <n v="108119"/>
    <n v="57"/>
    <s v="Resigned"/>
    <s v="Operations"/>
    <n v="7.1194444444444445"/>
    <x v="0"/>
    <n v="0.02"/>
    <n v="2162.38"/>
  </r>
  <r>
    <s v="EMP088"/>
    <s v="John Davis"/>
    <s v="IT02"/>
    <d v="2020-02-26T00:00:00"/>
    <n v="82713.428571428594"/>
    <n v="96"/>
    <s v="Active"/>
    <s v="Information Technology"/>
    <n v="6.3638888888888889"/>
    <x v="4"/>
    <n v="0.12"/>
    <n v="9925.6114285714302"/>
  </r>
  <r>
    <s v="EMP075"/>
    <s v="Richard Davis"/>
    <s v="HR01"/>
    <d v="2023-06-03T00:00:00"/>
    <n v="106896"/>
    <n v="52"/>
    <s v="Left"/>
    <s v="Human Resources"/>
    <n v="3.0944444444444446"/>
    <x v="0"/>
    <n v="0.02"/>
    <n v="2137.92"/>
  </r>
  <r>
    <s v="EMP122"/>
    <s v="Jones"/>
    <s v="IT02"/>
    <d v="2019-01-12T00:00:00"/>
    <n v="112887"/>
    <n v="59"/>
    <s v="Active"/>
    <s v="Information Technology"/>
    <n v="7.4861111111111107"/>
    <x v="0"/>
    <n v="0.02"/>
    <n v="2257.7400000000002"/>
  </r>
  <r>
    <s v="EMP021"/>
    <s v="William Rodriguez"/>
    <s v="FIN03"/>
    <d v="2023-04-21T00:00:00"/>
    <n v="85457"/>
    <n v="79"/>
    <s v="Active"/>
    <s v="Finance"/>
    <n v="3.2111111111111112"/>
    <x v="1"/>
    <n v="0.05"/>
    <n v="4272.8500000000004"/>
  </r>
  <r>
    <s v="EMP072"/>
    <s v="Melissa Miller"/>
    <s v="SAL05"/>
    <d v="2016-05-29T00:00:00"/>
    <n v="62798"/>
    <n v="30"/>
    <s v="Active"/>
    <s v="Sales"/>
    <n v="10.105555555555556"/>
    <x v="2"/>
    <n v="0"/>
    <n v="0"/>
  </r>
  <r>
    <s v="EMP107"/>
    <s v="Emily Martinez"/>
    <s v="OPS06"/>
    <d v="2022-05-30T00:00:00"/>
    <n v="47794"/>
    <n v="73"/>
    <s v="Left"/>
    <s v="Operations"/>
    <n v="4.1027777777777779"/>
    <x v="1"/>
    <n v="0.05"/>
    <n v="2389.7000000000003"/>
  </r>
  <r>
    <s v="EMP093"/>
    <s v="James Rodriguez"/>
    <s v="MKT04"/>
    <d v="2003-11-16T00:00:00"/>
    <n v="93094"/>
    <n v="74"/>
    <s v="Active"/>
    <s v="Marketing"/>
    <n v="22.641666666666666"/>
    <x v="1"/>
    <n v="0.05"/>
    <n v="4654.7"/>
  </r>
  <r>
    <s v="EMP103"/>
    <s v="Amanda Brown"/>
    <s v="IT02"/>
    <d v="2022-10-14T00:00:00"/>
    <n v="118634"/>
    <n v="91"/>
    <s v="Active"/>
    <s v="Information Technology"/>
    <n v="3.7305555555555556"/>
    <x v="3"/>
    <n v="0.08"/>
    <n v="9490.719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Brown"/>
    <s v="IT02"/>
    <d v="2017-12-24T00:00:00"/>
    <n v="50361"/>
    <n v="52"/>
    <x v="0"/>
    <x v="0"/>
    <n v="8.5361111111111114"/>
    <x v="0"/>
    <n v="0.02"/>
    <n v="1007.22"/>
  </r>
  <r>
    <s v="EMP046"/>
    <s v="Richard Hernandez"/>
    <s v="MKT04"/>
    <d v="2022-08-04T00:00:00"/>
    <n v="112673"/>
    <n v="68"/>
    <x v="0"/>
    <x v="1"/>
    <n v="3.9249999999999998"/>
    <x v="0"/>
    <n v="0.02"/>
    <n v="2253.46"/>
  </r>
  <r>
    <s v="EMP134"/>
    <s v="Emily Gonzalez"/>
    <s v="IT02"/>
    <d v="2016-02-03T00:00:00"/>
    <n v="114425"/>
    <n v="54"/>
    <x v="1"/>
    <x v="0"/>
    <n v="10.427777777777777"/>
    <x v="0"/>
    <n v="0.02"/>
    <n v="2288.5"/>
  </r>
  <r>
    <s v="EMP139"/>
    <s v="John Martinez"/>
    <s v="FIN03"/>
    <d v="2023-03-07T00:00:00"/>
    <n v="103831"/>
    <n v="70"/>
    <x v="0"/>
    <x v="2"/>
    <n v="3.3333333333333335"/>
    <x v="1"/>
    <n v="0.05"/>
    <n v="5191.55"/>
  </r>
  <r>
    <s v="EMP112"/>
    <s v="Thomas Smith"/>
    <s v="IT02"/>
    <d v="2023-02-20T00:00:00"/>
    <n v="73785"/>
    <n v="40"/>
    <x v="1"/>
    <x v="0"/>
    <n v="3.3805555555555555"/>
    <x v="2"/>
    <n v="0"/>
    <n v="0"/>
  </r>
  <r>
    <s v="EMP030"/>
    <s v="Emily Johnson"/>
    <s v="OPS06"/>
    <d v="2020-02-03T00:00:00"/>
    <n v="115882"/>
    <n v="49"/>
    <x v="0"/>
    <x v="3"/>
    <n v="6.427777777777778"/>
    <x v="2"/>
    <n v="0"/>
    <n v="0"/>
  </r>
  <r>
    <s v="EMP096"/>
    <s v="John Wilson"/>
    <s v="OPS06"/>
    <d v="2023-12-12T00:00:00"/>
    <n v="59980"/>
    <n v="70"/>
    <x v="1"/>
    <x v="3"/>
    <n v="2.5694444444444446"/>
    <x v="1"/>
    <n v="0.05"/>
    <n v="2999"/>
  </r>
  <r>
    <s v="EMP098"/>
    <s v="Jessica Smith"/>
    <s v="OPS06"/>
    <d v="2020-09-12T00:00:00"/>
    <n v="68728"/>
    <n v="45"/>
    <x v="0"/>
    <x v="3"/>
    <n v="5.8194444444444446"/>
    <x v="2"/>
    <n v="0"/>
    <n v="0"/>
  </r>
  <r>
    <s v="EMP095"/>
    <s v="Rodriguez"/>
    <s v="FIN03"/>
    <d v="2018-07-01T00:00:00"/>
    <n v="102139"/>
    <n v="79"/>
    <x v="0"/>
    <x v="2"/>
    <n v="8.0166666666666675"/>
    <x v="1"/>
    <n v="0.05"/>
    <n v="5106.9500000000007"/>
  </r>
  <r>
    <s v="EMP140"/>
    <s v="Michael Martinez"/>
    <s v="SAL05"/>
    <d v="2016-02-11T00:00:00"/>
    <n v="94998"/>
    <n v="58"/>
    <x v="0"/>
    <x v="4"/>
    <n v="10.405555555555555"/>
    <x v="0"/>
    <n v="0.02"/>
    <n v="1899.96"/>
  </r>
  <r>
    <s v="EMP020"/>
    <s v="Emily Miller"/>
    <s v="SAL05"/>
    <d v="2020-03-21T00:00:00"/>
    <n v="118635"/>
    <n v="49"/>
    <x v="0"/>
    <x v="4"/>
    <n v="6.2944444444444443"/>
    <x v="2"/>
    <n v="0"/>
    <n v="0"/>
  </r>
  <r>
    <s v="EMP057"/>
    <s v="Emily Hernandez"/>
    <s v="IT02"/>
    <d v="2016-02-25T00:00:00"/>
    <n v="76918"/>
    <n v="62"/>
    <x v="0"/>
    <x v="0"/>
    <n v="10.366666666666667"/>
    <x v="0"/>
    <n v="0.02"/>
    <n v="1538.3600000000001"/>
  </r>
  <r>
    <s v="EMP016"/>
    <s v="Jane Williams"/>
    <s v="MKT04"/>
    <d v="2017-06-21T00:00:00"/>
    <n v="61408"/>
    <n v="48"/>
    <x v="0"/>
    <x v="1"/>
    <n v="9.0444444444444443"/>
    <x v="2"/>
    <n v="0"/>
    <n v="0"/>
  </r>
  <r>
    <s v="EMP070"/>
    <s v="Jane Miller"/>
    <s v="MKT04"/>
    <d v="2020-06-19T00:00:00"/>
    <n v="99990"/>
    <n v="54"/>
    <x v="0"/>
    <x v="1"/>
    <n v="6.05"/>
    <x v="0"/>
    <n v="0.02"/>
    <n v="1999.8"/>
  </r>
  <r>
    <s v="EMP025"/>
    <s v="Robert Jones"/>
    <s v="MKT04"/>
    <d v="2019-12-21T00:00:00"/>
    <n v="80385"/>
    <n v="68"/>
    <x v="0"/>
    <x v="1"/>
    <n v="6.5444444444444443"/>
    <x v="0"/>
    <n v="0.02"/>
    <n v="1607.7"/>
  </r>
  <r>
    <s v="EMP031"/>
    <s v="Thomas Rodriguez"/>
    <s v="SAL05"/>
    <d v="2023-08-31T00:00:00"/>
    <n v="65290"/>
    <n v="77"/>
    <x v="0"/>
    <x v="4"/>
    <n v="2.8527777777777779"/>
    <x v="1"/>
    <n v="0.05"/>
    <n v="3264.5"/>
  </r>
  <r>
    <s v="EMP126"/>
    <s v="Emily Davis"/>
    <s v="IT02"/>
    <d v="2015-11-29T00:00:00"/>
    <n v="105765"/>
    <n v="42"/>
    <x v="0"/>
    <x v="0"/>
    <n v="10.605555555555556"/>
    <x v="2"/>
    <n v="0"/>
    <n v="0"/>
  </r>
  <r>
    <s v="EMP109"/>
    <s v="James Martinez"/>
    <s v="SAL05"/>
    <d v="2017-06-13T00:00:00"/>
    <n v="102921"/>
    <n v="49"/>
    <x v="0"/>
    <x v="4"/>
    <n v="9.0666666666666664"/>
    <x v="2"/>
    <n v="0"/>
    <n v="0"/>
  </r>
  <r>
    <s v="EMP066"/>
    <s v="Ashley Lopez"/>
    <s v="MKT04"/>
    <d v="2018-05-15T00:00:00"/>
    <n v="73984"/>
    <n v="93"/>
    <x v="0"/>
    <x v="1"/>
    <n v="8.1444444444444439"/>
    <x v="3"/>
    <n v="0.08"/>
    <n v="5918.72"/>
  </r>
  <r>
    <s v="EMP120"/>
    <s v="Amanda Gonzalez"/>
    <s v="IT02"/>
    <d v="2016-07-24T00:00:00"/>
    <n v="82713.428571428594"/>
    <n v="75"/>
    <x v="0"/>
    <x v="0"/>
    <n v="9.9527777777777775"/>
    <x v="1"/>
    <n v="0.05"/>
    <n v="4135.6714285714297"/>
  </r>
  <r>
    <s v="EMP019"/>
    <s v="Michael Hernandez"/>
    <s v="FIN03"/>
    <d v="2017-07-12T00:00:00"/>
    <n v="118527"/>
    <n v="50"/>
    <x v="0"/>
    <x v="2"/>
    <n v="8.9861111111111107"/>
    <x v="0"/>
    <n v="0.02"/>
    <n v="2370.54"/>
  </r>
  <r>
    <s v="EMP013"/>
    <s v="Richard Hernandez"/>
    <s v="MKT04"/>
    <d v="2021-06-06T00:00:00"/>
    <n v="107871"/>
    <n v="88"/>
    <x v="0"/>
    <x v="1"/>
    <n v="5.0861111111111112"/>
    <x v="3"/>
    <n v="0.08"/>
    <n v="8629.68"/>
  </r>
  <r>
    <s v="EMP010"/>
    <s v="Michael Rodriguez"/>
    <s v="IT02"/>
    <d v="2022-11-09T00:00:00"/>
    <n v="93956"/>
    <n v="50"/>
    <x v="1"/>
    <x v="0"/>
    <n v="3.661111111111111"/>
    <x v="0"/>
    <n v="0.02"/>
    <n v="1879.1200000000001"/>
  </r>
  <r>
    <s v="EMP032"/>
    <s v="Jessica Johnson"/>
    <s v="FIN03"/>
    <d v="2016-07-14T00:00:00"/>
    <n v="100851"/>
    <n v="64"/>
    <x v="0"/>
    <x v="2"/>
    <n v="9.9805555555555561"/>
    <x v="0"/>
    <n v="0.02"/>
    <n v="2017.02"/>
  </r>
  <r>
    <s v="EMP082"/>
    <s v="Ashley Williams"/>
    <s v="SAL05"/>
    <d v="2022-06-16T00:00:00"/>
    <n v="68655"/>
    <n v="32"/>
    <x v="0"/>
    <x v="4"/>
    <n v="4.0583333333333336"/>
    <x v="2"/>
    <n v="0"/>
    <n v="0"/>
  </r>
  <r>
    <s v="EMP052"/>
    <s v="Williams"/>
    <s v="SAL05"/>
    <d v="2023-07-27T00:00:00"/>
    <n v="81205"/>
    <n v="59"/>
    <x v="0"/>
    <x v="4"/>
    <n v="2.9444444444444446"/>
    <x v="0"/>
    <n v="0.02"/>
    <n v="1624.1000000000001"/>
  </r>
  <r>
    <s v="EMP129"/>
    <s v="John Wilson"/>
    <s v="SAL05"/>
    <d v="2019-09-24T00:00:00"/>
    <n v="77610"/>
    <n v="88"/>
    <x v="0"/>
    <x v="4"/>
    <n v="6.7861111111111114"/>
    <x v="3"/>
    <n v="0.08"/>
    <n v="6208.8"/>
  </r>
  <r>
    <s v="EMP146"/>
    <s v="Thomas Rodriguez"/>
    <s v="IT02"/>
    <d v="2022-07-23T00:00:00"/>
    <n v="50873"/>
    <n v="90"/>
    <x v="0"/>
    <x v="0"/>
    <n v="3.9555555555555557"/>
    <x v="3"/>
    <n v="0.08"/>
    <n v="4069.84"/>
  </r>
  <r>
    <s v="EMP099"/>
    <s v="Michael Wilson"/>
    <s v="FIN03"/>
    <d v="2013-05-18T00:00:00"/>
    <n v="85312"/>
    <n v="66"/>
    <x v="0"/>
    <x v="2"/>
    <n v="13.136111111111111"/>
    <x v="0"/>
    <n v="0.02"/>
    <n v="1706.24"/>
  </r>
  <r>
    <s v="EMP015"/>
    <s v="John Rodriguez"/>
    <s v="SAL05"/>
    <d v="2015-07-17T00:00:00"/>
    <n v="82713.428571428594"/>
    <n v="68"/>
    <x v="0"/>
    <x v="4"/>
    <n v="10.972222222222221"/>
    <x v="0"/>
    <n v="0.02"/>
    <n v="1654.2685714285719"/>
  </r>
  <r>
    <s v="EMP076"/>
    <s v="Thomas Hernandez"/>
    <s v="OPS06"/>
    <d v="2005-08-15T00:00:00"/>
    <n v="97055"/>
    <n v="80"/>
    <x v="0"/>
    <x v="3"/>
    <n v="20.894444444444446"/>
    <x v="1"/>
    <n v="0.05"/>
    <n v="4852.75"/>
  </r>
  <r>
    <s v="EMP137"/>
    <s v="Michael Johnson"/>
    <s v="IT02"/>
    <d v="2023-09-26T00:00:00"/>
    <n v="66069"/>
    <n v="72"/>
    <x v="0"/>
    <x v="0"/>
    <n v="2.7805555555555554"/>
    <x v="1"/>
    <n v="0.05"/>
    <n v="3303.4500000000003"/>
  </r>
  <r>
    <s v="EMP056"/>
    <s v="Sarah Brown"/>
    <s v="IT02"/>
    <d v="2010-06-19T00:00:00"/>
    <n v="90157"/>
    <n v="58"/>
    <x v="0"/>
    <x v="0"/>
    <n v="16.05"/>
    <x v="0"/>
    <n v="0.02"/>
    <n v="1803.14"/>
  </r>
  <r>
    <s v="EMP125"/>
    <s v="Jane Martinez"/>
    <s v="HR01"/>
    <d v="2022-01-17T00:00:00"/>
    <n v="59899"/>
    <n v="78"/>
    <x v="0"/>
    <x v="5"/>
    <n v="4.4722222222222223"/>
    <x v="1"/>
    <n v="0.05"/>
    <n v="2994.9500000000003"/>
  </r>
  <r>
    <s v="EMP085"/>
    <s v="Emily Jones"/>
    <s v="FIN03"/>
    <d v="2003-07-17T00:00:00"/>
    <n v="113389"/>
    <n v="30"/>
    <x v="0"/>
    <x v="2"/>
    <n v="22.972222222222221"/>
    <x v="2"/>
    <n v="0"/>
    <n v="0"/>
  </r>
  <r>
    <s v="EMP106"/>
    <s v="Brown"/>
    <s v="IT02"/>
    <d v="2001-09-15T00:00:00"/>
    <n v="102691"/>
    <n v="52"/>
    <x v="0"/>
    <x v="0"/>
    <n v="24.81111111111111"/>
    <x v="0"/>
    <n v="0.02"/>
    <n v="2053.8200000000002"/>
  </r>
  <r>
    <s v="EMP043"/>
    <s v="John Wilson"/>
    <s v="OPS06"/>
    <d v="2003-08-22T00:00:00"/>
    <n v="111845"/>
    <n v="98"/>
    <x v="0"/>
    <x v="3"/>
    <n v="22.875"/>
    <x v="4"/>
    <n v="0.12"/>
    <n v="13421.4"/>
  </r>
  <r>
    <s v="EMP068"/>
    <s v="Melissa Brown"/>
    <s v="SAL05"/>
    <d v="2022-06-29T00:00:00"/>
    <n v="69219"/>
    <n v="93"/>
    <x v="0"/>
    <x v="4"/>
    <n v="4.0222222222222221"/>
    <x v="3"/>
    <n v="0.08"/>
    <n v="5537.52"/>
  </r>
  <r>
    <s v="EMP128"/>
    <s v="Michael Smith"/>
    <s v="FIN03"/>
    <d v="2020-04-28T00:00:00"/>
    <n v="82713.428571428594"/>
    <n v="80"/>
    <x v="1"/>
    <x v="2"/>
    <n v="6.1916666666666664"/>
    <x v="1"/>
    <n v="0.05"/>
    <n v="4135.6714285714297"/>
  </r>
  <r>
    <s v="EMP027"/>
    <s v="Sarah Miller"/>
    <s v="OPS06"/>
    <d v="2017-09-09T00:00:00"/>
    <n v="57514"/>
    <n v="68"/>
    <x v="0"/>
    <x v="3"/>
    <n v="8.8277777777777775"/>
    <x v="0"/>
    <n v="0.02"/>
    <n v="1150.28"/>
  </r>
  <r>
    <s v="EMP136"/>
    <s v="Emily Wilson"/>
    <s v="SAL05"/>
    <d v="2018-03-22T00:00:00"/>
    <n v="86245"/>
    <n v="71"/>
    <x v="1"/>
    <x v="4"/>
    <n v="8.2916666666666661"/>
    <x v="1"/>
    <n v="0.05"/>
    <n v="4312.25"/>
  </r>
  <r>
    <s v="EMP079"/>
    <s v="David Hernandez"/>
    <s v="SAL05"/>
    <d v="2020-07-05T00:00:00"/>
    <n v="52407"/>
    <n v="55"/>
    <x v="0"/>
    <x v="4"/>
    <n v="6.0055555555555555"/>
    <x v="0"/>
    <n v="0.02"/>
    <n v="1048.1400000000001"/>
  </r>
  <r>
    <s v="EMP149"/>
    <s v="James Smith"/>
    <s v="OPS06"/>
    <d v="2019-03-25T00:00:00"/>
    <n v="66606"/>
    <n v="93"/>
    <x v="2"/>
    <x v="3"/>
    <n v="7.2833333333333332"/>
    <x v="3"/>
    <n v="0.08"/>
    <n v="5328.4800000000005"/>
  </r>
  <r>
    <s v="EMP037"/>
    <s v="Sarah Williams"/>
    <s v="IT02"/>
    <d v="2019-09-08T00:00:00"/>
    <n v="81896"/>
    <n v="79"/>
    <x v="2"/>
    <x v="0"/>
    <n v="6.8305555555555557"/>
    <x v="1"/>
    <n v="0.05"/>
    <n v="4094.8"/>
  </r>
  <r>
    <s v="EMP077"/>
    <s v="Amanda Lopez"/>
    <s v="SAL05"/>
    <d v="2016-07-14T00:00:00"/>
    <n v="78402"/>
    <n v="54"/>
    <x v="0"/>
    <x v="4"/>
    <n v="9.9805555555555561"/>
    <x v="0"/>
    <n v="0.02"/>
    <n v="1568.04"/>
  </r>
  <r>
    <s v="EMP023"/>
    <s v="Thomas Lopez"/>
    <s v="OPS06"/>
    <d v="2016-04-10T00:00:00"/>
    <n v="105498"/>
    <n v="76"/>
    <x v="0"/>
    <x v="3"/>
    <n v="10.241666666666667"/>
    <x v="1"/>
    <n v="0.05"/>
    <n v="5274.9000000000005"/>
  </r>
  <r>
    <s v="EMP133"/>
    <s v="Melissa Johnson"/>
    <s v="MKT04"/>
    <d v="2010-07-19T00:00:00"/>
    <n v="91749"/>
    <n v="72"/>
    <x v="1"/>
    <x v="1"/>
    <n v="15.966666666666667"/>
    <x v="1"/>
    <n v="0.05"/>
    <n v="4587.45"/>
  </r>
  <r>
    <s v="EMP141"/>
    <s v="Amanda Johnson"/>
    <s v="OPS06"/>
    <d v="2021-08-29T00:00:00"/>
    <n v="99935"/>
    <n v="84"/>
    <x v="2"/>
    <x v="3"/>
    <n v="4.8555555555555552"/>
    <x v="1"/>
    <n v="0.05"/>
    <n v="4996.75"/>
  </r>
  <r>
    <s v="EMP012"/>
    <s v="John Davis"/>
    <s v="IT02"/>
    <d v="2017-01-26T00:00:00"/>
    <n v="83531"/>
    <n v="30"/>
    <x v="1"/>
    <x v="0"/>
    <n v="9.4472222222222229"/>
    <x v="2"/>
    <n v="0"/>
    <n v="0"/>
  </r>
  <r>
    <s v="EMP080"/>
    <s v="James Johnson"/>
    <s v="MKT04"/>
    <d v="2020-05-30T00:00:00"/>
    <n v="75023"/>
    <n v="68"/>
    <x v="0"/>
    <x v="1"/>
    <n v="6.1027777777777779"/>
    <x v="0"/>
    <n v="0.02"/>
    <n v="1500.46"/>
  </r>
  <r>
    <s v="EMP069"/>
    <s v="Jane Davis"/>
    <s v="HR01"/>
    <d v="2022-02-20T00:00:00"/>
    <n v="93290"/>
    <n v="53"/>
    <x v="0"/>
    <x v="5"/>
    <n v="4.3805555555555555"/>
    <x v="0"/>
    <n v="0.02"/>
    <n v="1865.8"/>
  </r>
  <r>
    <s v="EMP150"/>
    <s v="Richard Davis"/>
    <s v="OPS06"/>
    <d v="2016-09-15T00:00:00"/>
    <n v="115527"/>
    <n v="63"/>
    <x v="2"/>
    <x v="3"/>
    <n v="9.8111111111111118"/>
    <x v="0"/>
    <n v="0.02"/>
    <n v="2310.54"/>
  </r>
  <r>
    <s v="EMP028"/>
    <s v="Thomas Rodriguez"/>
    <s v="FIN03"/>
    <d v="2019-10-07T00:00:00"/>
    <n v="55920"/>
    <n v="84"/>
    <x v="0"/>
    <x v="2"/>
    <n v="6.75"/>
    <x v="1"/>
    <n v="0.05"/>
    <n v="2796"/>
  </r>
  <r>
    <s v="EMP087"/>
    <s v="Emily Johnson"/>
    <s v="SAL05"/>
    <d v="2018-12-30T00:00:00"/>
    <n v="80189"/>
    <n v="30"/>
    <x v="0"/>
    <x v="4"/>
    <n v="7.5194444444444448"/>
    <x v="2"/>
    <n v="0"/>
    <n v="0"/>
  </r>
  <r>
    <s v="EMP119"/>
    <s v="Emily Garcia"/>
    <s v="HR01"/>
    <d v="2020-12-24T00:00:00"/>
    <n v="118947"/>
    <n v="96"/>
    <x v="0"/>
    <x v="5"/>
    <n v="5.5361111111111114"/>
    <x v="4"/>
    <n v="0.12"/>
    <n v="14273.64"/>
  </r>
  <r>
    <s v="EMP042"/>
    <s v="Jane Anderson"/>
    <s v="IT02"/>
    <d v="2023-05-07T00:00:00"/>
    <n v="82713.428571428594"/>
    <n v="54"/>
    <x v="0"/>
    <x v="0"/>
    <n v="3.1666666666666665"/>
    <x v="0"/>
    <n v="0.02"/>
    <n v="1654.2685714285719"/>
  </r>
  <r>
    <s v="EMP005"/>
    <s v="Thomas Garcia"/>
    <s v="OPS06"/>
    <d v="2020-11-13T00:00:00"/>
    <n v="82713.428571428594"/>
    <n v="75"/>
    <x v="0"/>
    <x v="3"/>
    <n v="5.65"/>
    <x v="1"/>
    <n v="0.05"/>
    <n v="4135.6714285714297"/>
  </r>
  <r>
    <s v="EMP033"/>
    <s v="David Martinez"/>
    <s v="HR01"/>
    <d v="2018-02-07T00:00:00"/>
    <n v="91655"/>
    <n v="95"/>
    <x v="0"/>
    <x v="5"/>
    <n v="8.4166666666666661"/>
    <x v="4"/>
    <n v="0.12"/>
    <n v="10998.6"/>
  </r>
  <r>
    <s v="EMP061"/>
    <s v="Emily Brown"/>
    <s v="IT02"/>
    <d v="2023-11-25T00:00:00"/>
    <n v="49435"/>
    <n v="68"/>
    <x v="1"/>
    <x v="0"/>
    <n v="2.6166666666666667"/>
    <x v="0"/>
    <n v="0.02"/>
    <n v="988.7"/>
  </r>
  <r>
    <s v="EMP102"/>
    <s v="Emily Wilson"/>
    <s v="SAL05"/>
    <d v="2023-10-18T00:00:00"/>
    <n v="110381"/>
    <n v="93"/>
    <x v="0"/>
    <x v="4"/>
    <n v="2.7194444444444446"/>
    <x v="3"/>
    <n v="0.08"/>
    <n v="8830.48"/>
  </r>
  <r>
    <s v="EMP067"/>
    <s v="Michael Anderson"/>
    <s v="HR01"/>
    <d v="2020-05-09T00:00:00"/>
    <n v="114748"/>
    <n v="33"/>
    <x v="0"/>
    <x v="5"/>
    <n v="6.1611111111111114"/>
    <x v="2"/>
    <n v="0"/>
    <n v="0"/>
  </r>
  <r>
    <s v="EMP017"/>
    <s v="Robert Johnson"/>
    <s v="OPS06"/>
    <d v="2017-06-03T00:00:00"/>
    <n v="63302"/>
    <n v="91"/>
    <x v="0"/>
    <x v="3"/>
    <n v="9.094444444444445"/>
    <x v="3"/>
    <n v="0.08"/>
    <n v="5064.16"/>
  </r>
  <r>
    <s v="EMP123"/>
    <s v="Robert Miller"/>
    <s v="IT02"/>
    <d v="2015-04-28T00:00:00"/>
    <n v="75519"/>
    <n v="64"/>
    <x v="0"/>
    <x v="0"/>
    <n v="11.191666666666666"/>
    <x v="0"/>
    <n v="0.02"/>
    <n v="1510.38"/>
  </r>
  <r>
    <s v="EMP011"/>
    <s v="Jane Davis"/>
    <s v="FIN03"/>
    <d v="2017-04-13T00:00:00"/>
    <n v="103891"/>
    <n v="80"/>
    <x v="0"/>
    <x v="2"/>
    <n v="9.2333333333333325"/>
    <x v="1"/>
    <n v="0.05"/>
    <n v="5194.55"/>
  </r>
  <r>
    <s v="EMP091"/>
    <s v="Thomas Davis"/>
    <s v="OPS06"/>
    <d v="2022-09-23T00:00:00"/>
    <n v="82713.428571428594"/>
    <n v="46"/>
    <x v="1"/>
    <x v="3"/>
    <n v="3.7888888888888888"/>
    <x v="2"/>
    <n v="0"/>
    <n v="0"/>
  </r>
  <r>
    <s v="EMP145"/>
    <s v="Thomas Jones"/>
    <s v="MKT04"/>
    <d v="2016-11-11T00:00:00"/>
    <n v="50936"/>
    <n v="99"/>
    <x v="0"/>
    <x v="1"/>
    <n v="9.655555555555555"/>
    <x v="4"/>
    <n v="0.12"/>
    <n v="6112.32"/>
  </r>
  <r>
    <s v="EMP001"/>
    <s v="Michael Miller"/>
    <s v="SAL05"/>
    <d v="2024-03-17T00:00:00"/>
    <n v="111240"/>
    <n v="68"/>
    <x v="0"/>
    <x v="4"/>
    <n v="2.3055555555555554"/>
    <x v="0"/>
    <n v="0.02"/>
    <n v="2224.8000000000002"/>
  </r>
  <r>
    <s v="EMP113"/>
    <s v="Richard Gonzalez"/>
    <s v="HR01"/>
    <d v="2005-05-19T00:00:00"/>
    <n v="51567"/>
    <n v="87"/>
    <x v="2"/>
    <x v="5"/>
    <n v="21.133333333333333"/>
    <x v="3"/>
    <n v="0.08"/>
    <n v="4125.3599999999997"/>
  </r>
  <r>
    <s v="EMP065"/>
    <s v="Melissa Williams"/>
    <s v="HR01"/>
    <d v="2021-07-25T00:00:00"/>
    <n v="82713.428571428594"/>
    <n v="36"/>
    <x v="0"/>
    <x v="5"/>
    <n v="4.95"/>
    <x v="2"/>
    <n v="0"/>
    <n v="0"/>
  </r>
  <r>
    <s v="EMP045"/>
    <s v="Robert Miller"/>
    <s v="HR01"/>
    <d v="2017-09-30T00:00:00"/>
    <n v="55270"/>
    <n v="87"/>
    <x v="0"/>
    <x v="5"/>
    <n v="8.7694444444444439"/>
    <x v="3"/>
    <n v="0.08"/>
    <n v="4421.6000000000004"/>
  </r>
  <r>
    <s v="EMP083"/>
    <s v="William Garcia"/>
    <s v="SAL05"/>
    <d v="2015-07-07T00:00:00"/>
    <n v="65235"/>
    <n v="97"/>
    <x v="0"/>
    <x v="4"/>
    <n v="11"/>
    <x v="4"/>
    <n v="0.12"/>
    <n v="7828.2"/>
  </r>
  <r>
    <s v="EMP029"/>
    <s v="John Gonzalez"/>
    <s v="SAL05"/>
    <d v="2018-02-07T00:00:00"/>
    <n v="82713.428571428594"/>
    <n v="72"/>
    <x v="1"/>
    <x v="4"/>
    <n v="8.4166666666666661"/>
    <x v="1"/>
    <n v="0.05"/>
    <n v="4135.6714285714297"/>
  </r>
  <r>
    <s v="EMP041"/>
    <s v="James Gonzalez"/>
    <s v="SAL05"/>
    <d v="2022-09-15T00:00:00"/>
    <n v="82713.428571428594"/>
    <n v="65"/>
    <x v="1"/>
    <x v="4"/>
    <n v="3.8111111111111109"/>
    <x v="0"/>
    <n v="0.02"/>
    <n v="1654.2685714285719"/>
  </r>
  <r>
    <s v="EMP026"/>
    <s v="Jane Gonzalez"/>
    <s v="SAL05"/>
    <d v="2015-02-09T00:00:00"/>
    <n v="82713.428571428594"/>
    <n v="67"/>
    <x v="0"/>
    <x v="4"/>
    <n v="11.411111111111111"/>
    <x v="0"/>
    <n v="0.02"/>
    <n v="1654.2685714285719"/>
  </r>
  <r>
    <s v="EMP024"/>
    <s v="David Wilson"/>
    <s v="OPS06"/>
    <d v="2011-10-16T00:00:00"/>
    <n v="48823"/>
    <n v="34"/>
    <x v="0"/>
    <x v="3"/>
    <n v="14.725"/>
    <x v="2"/>
    <n v="0"/>
    <n v="0"/>
  </r>
  <r>
    <s v="EMP111"/>
    <s v="Jane Gonzalez"/>
    <s v="FIN03"/>
    <d v="2019-04-20T00:00:00"/>
    <n v="45196"/>
    <n v="78"/>
    <x v="1"/>
    <x v="2"/>
    <n v="7.2138888888888886"/>
    <x v="1"/>
    <n v="0.05"/>
    <n v="2259.8000000000002"/>
  </r>
  <r>
    <s v="EMP040"/>
    <s v="Jane Rodriguez"/>
    <s v="IT02"/>
    <d v="2017-02-19T00:00:00"/>
    <n v="86246"/>
    <n v="61"/>
    <x v="0"/>
    <x v="0"/>
    <n v="9.3833333333333329"/>
    <x v="0"/>
    <n v="0.02"/>
    <n v="1724.92"/>
  </r>
  <r>
    <s v="EMP086"/>
    <s v="Emily Miller"/>
    <s v="SAL05"/>
    <d v="2021-09-07T00:00:00"/>
    <n v="70359"/>
    <n v="74"/>
    <x v="1"/>
    <x v="4"/>
    <n v="4.833333333333333"/>
    <x v="1"/>
    <n v="0.05"/>
    <n v="3517.9500000000003"/>
  </r>
  <r>
    <s v="EMP124"/>
    <s v="Sarah Miller"/>
    <s v="MKT04"/>
    <d v="2019-05-14T00:00:00"/>
    <n v="82713.428571428594"/>
    <n v="94"/>
    <x v="0"/>
    <x v="1"/>
    <n v="7.1472222222222221"/>
    <x v="3"/>
    <n v="0.08"/>
    <n v="6617.0742857142877"/>
  </r>
  <r>
    <s v="EMP132"/>
    <s v="Jessica Garcia"/>
    <s v="OPS06"/>
    <d v="2015-11-22T00:00:00"/>
    <n v="86480"/>
    <n v="68"/>
    <x v="0"/>
    <x v="3"/>
    <n v="10.625"/>
    <x v="0"/>
    <n v="0.02"/>
    <n v="1729.6000000000001"/>
  </r>
  <r>
    <s v="EMP048"/>
    <s v="Richard Smith"/>
    <s v="HR01"/>
    <d v="2018-09-29T00:00:00"/>
    <n v="47694"/>
    <n v="75"/>
    <x v="0"/>
    <x v="5"/>
    <n v="7.7722222222222221"/>
    <x v="1"/>
    <n v="0.05"/>
    <n v="2384.7000000000003"/>
  </r>
  <r>
    <s v="EMP114"/>
    <s v="Melissa Wilson"/>
    <s v="IT02"/>
    <d v="2023-02-09T00:00:00"/>
    <n v="83724"/>
    <n v="81"/>
    <x v="2"/>
    <x v="0"/>
    <n v="3.411111111111111"/>
    <x v="1"/>
    <n v="0.05"/>
    <n v="4186.2"/>
  </r>
  <r>
    <s v="EMP062"/>
    <s v="Thomas Williams"/>
    <s v="FIN03"/>
    <d v="2022-07-17T00:00:00"/>
    <n v="98299"/>
    <n v="61"/>
    <x v="0"/>
    <x v="2"/>
    <n v="3.9722222222222223"/>
    <x v="0"/>
    <n v="0.02"/>
    <n v="1965.98"/>
  </r>
  <r>
    <s v="EMP074"/>
    <s v="David Williams"/>
    <s v="FIN03"/>
    <d v="2007-02-21T00:00:00"/>
    <n v="82713.428571428594"/>
    <n v="68"/>
    <x v="0"/>
    <x v="2"/>
    <n v="19.377777777777776"/>
    <x v="0"/>
    <n v="0.02"/>
    <n v="1654.2685714285719"/>
  </r>
  <r>
    <s v="EMP034"/>
    <s v="John Johnson"/>
    <s v="IT02"/>
    <d v="2023-10-04T00:00:00"/>
    <n v="52287"/>
    <n v="70"/>
    <x v="0"/>
    <x v="0"/>
    <n v="2.7583333333333333"/>
    <x v="1"/>
    <n v="0.05"/>
    <n v="2614.3500000000004"/>
  </r>
  <r>
    <s v="EMP105"/>
    <s v="Richard Gonzalez"/>
    <s v="IT02"/>
    <d v="2020-08-30T00:00:00"/>
    <n v="82633"/>
    <n v="98"/>
    <x v="0"/>
    <x v="0"/>
    <n v="5.8527777777777779"/>
    <x v="4"/>
    <n v="0.12"/>
    <n v="9915.9599999999991"/>
  </r>
  <r>
    <s v="EMP118"/>
    <s v="Melissa Anderson"/>
    <s v="OPS06"/>
    <d v="2021-08-14T00:00:00"/>
    <n v="46508"/>
    <n v="34"/>
    <x v="0"/>
    <x v="3"/>
    <n v="4.8972222222222221"/>
    <x v="2"/>
    <n v="0"/>
    <n v="0"/>
  </r>
  <r>
    <s v="EMP063"/>
    <s v="Emily Gonzalez"/>
    <s v="HR01"/>
    <d v="2027-11-19T00:00:00"/>
    <n v="86232"/>
    <n v="93"/>
    <x v="0"/>
    <x v="5"/>
    <n v="1.3666666666666667"/>
    <x v="3"/>
    <n v="0.08"/>
    <n v="6898.56"/>
  </r>
  <r>
    <s v="EMP094"/>
    <s v="Jane Davis"/>
    <s v="IT02"/>
    <d v="2025-05-17T00:00:00"/>
    <n v="77545"/>
    <n v="48"/>
    <x v="0"/>
    <x v="0"/>
    <n v="1.1388888888888888"/>
    <x v="2"/>
    <n v="0"/>
    <n v="0"/>
  </r>
  <r>
    <s v="EMP097"/>
    <s v="William Gonzalez"/>
    <s v="OPS06"/>
    <d v="2018-02-12T00:00:00"/>
    <n v="68683"/>
    <n v="90"/>
    <x v="0"/>
    <x v="3"/>
    <n v="8.4027777777777786"/>
    <x v="3"/>
    <n v="0.08"/>
    <n v="5494.64"/>
  </r>
  <r>
    <s v="EMP054"/>
    <s v="Thomas Jones"/>
    <s v="FIN03"/>
    <d v="2019-06-23T00:00:00"/>
    <n v="83932"/>
    <n v="57"/>
    <x v="1"/>
    <x v="2"/>
    <n v="7.0388888888888888"/>
    <x v="0"/>
    <n v="0.02"/>
    <n v="1678.64"/>
  </r>
  <r>
    <s v="EMP006"/>
    <s v="Jessica Anderson"/>
    <s v="HR01"/>
    <d v="2015-10-27T00:00:00"/>
    <n v="56073"/>
    <n v="79"/>
    <x v="0"/>
    <x v="5"/>
    <n v="10.694444444444445"/>
    <x v="1"/>
    <n v="0.05"/>
    <n v="2803.65"/>
  </r>
  <r>
    <s v="EMP110"/>
    <s v="Melissa Johnson"/>
    <s v="IT02"/>
    <d v="2018-06-19T00:00:00"/>
    <n v="88056"/>
    <n v="66"/>
    <x v="0"/>
    <x v="0"/>
    <n v="8.0500000000000007"/>
    <x v="0"/>
    <n v="0.02"/>
    <n v="1761.1200000000001"/>
  </r>
  <r>
    <s v="EMP147"/>
    <s v="Thomas Miller"/>
    <s v="OPS06"/>
    <d v="2018-12-01T00:00:00"/>
    <n v="67414"/>
    <n v="84"/>
    <x v="1"/>
    <x v="3"/>
    <n v="7.6"/>
    <x v="1"/>
    <n v="0.05"/>
    <n v="3370.7000000000003"/>
  </r>
  <r>
    <s v="EMP050"/>
    <s v="William Gonzalez"/>
    <s v="SAL05"/>
    <d v="2015-04-01T00:00:00"/>
    <n v="115288"/>
    <n v="61"/>
    <x v="0"/>
    <x v="4"/>
    <n v="11.266666666666667"/>
    <x v="0"/>
    <n v="0.02"/>
    <n v="2305.7600000000002"/>
  </r>
  <r>
    <s v="EMP036"/>
    <s v="Smith"/>
    <s v="SAL05"/>
    <d v="2018-05-12T00:00:00"/>
    <n v="80140"/>
    <n v="58"/>
    <x v="0"/>
    <x v="4"/>
    <n v="8.1527777777777786"/>
    <x v="0"/>
    <n v="0.02"/>
    <n v="1602.8"/>
  </r>
  <r>
    <s v="EMP081"/>
    <s v="John Johnson"/>
    <s v="IT02"/>
    <d v="2021-10-13T00:00:00"/>
    <n v="73087"/>
    <n v="69"/>
    <x v="0"/>
    <x v="0"/>
    <n v="4.7333333333333334"/>
    <x v="0"/>
    <n v="0.02"/>
    <n v="1461.74"/>
  </r>
  <r>
    <s v="EMP078"/>
    <s v="Jane Johnson"/>
    <s v="SAL05"/>
    <d v="2020-07-09T00:00:00"/>
    <n v="95292"/>
    <n v="34"/>
    <x v="0"/>
    <x v="4"/>
    <n v="5.9944444444444445"/>
    <x v="2"/>
    <n v="0"/>
    <n v="0"/>
  </r>
  <r>
    <s v="EMP035"/>
    <s v="John Jones"/>
    <s v="IT02"/>
    <d v="2019-03-08T00:00:00"/>
    <n v="82713.428571428594"/>
    <n v="33"/>
    <x v="0"/>
    <x v="0"/>
    <n v="7.3305555555555557"/>
    <x v="2"/>
    <n v="0"/>
    <n v="0"/>
  </r>
  <r>
    <s v="EMP047"/>
    <s v="Jane Lopez"/>
    <s v="MKT04"/>
    <d v="2011-03-15T00:00:00"/>
    <n v="101750"/>
    <n v="84"/>
    <x v="1"/>
    <x v="1"/>
    <n v="15.311111111111112"/>
    <x v="1"/>
    <n v="0.05"/>
    <n v="5087.5"/>
  </r>
  <r>
    <s v="EMP008"/>
    <s v="Melissa Gonzalez"/>
    <s v="MKT04"/>
    <d v="2019-02-17T00:00:00"/>
    <n v="82992"/>
    <n v="79"/>
    <x v="0"/>
    <x v="1"/>
    <n v="7.3888888888888893"/>
    <x v="1"/>
    <n v="0.05"/>
    <n v="4149.6000000000004"/>
  </r>
  <r>
    <s v="EMP044"/>
    <s v="William Davis"/>
    <s v="IT02"/>
    <d v="2023-09-05T00:00:00"/>
    <n v="49942"/>
    <n v="51"/>
    <x v="0"/>
    <x v="0"/>
    <n v="2.838888888888889"/>
    <x v="0"/>
    <n v="0.02"/>
    <n v="998.84"/>
  </r>
  <r>
    <s v="EMP071"/>
    <s v="John Smith"/>
    <s v="OPS06"/>
    <d v="2018-01-22T00:00:00"/>
    <n v="89060"/>
    <n v="58"/>
    <x v="0"/>
    <x v="3"/>
    <n v="8.4583333333333339"/>
    <x v="0"/>
    <n v="0.02"/>
    <n v="1781.2"/>
  </r>
  <r>
    <s v="EMP115"/>
    <s v="James Gonzalez"/>
    <s v="IT02"/>
    <d v="2020-02-18T00:00:00"/>
    <n v="53786"/>
    <n v="98"/>
    <x v="0"/>
    <x v="0"/>
    <n v="6.3861111111111111"/>
    <x v="4"/>
    <n v="0.12"/>
    <n v="6454.32"/>
  </r>
  <r>
    <s v="EMP092"/>
    <s v="Emily Johnson"/>
    <s v="OPS06"/>
    <d v="2016-05-22T00:00:00"/>
    <n v="81167"/>
    <n v="68"/>
    <x v="0"/>
    <x v="3"/>
    <n v="10.125"/>
    <x v="0"/>
    <n v="0.02"/>
    <n v="1623.3400000000001"/>
  </r>
  <r>
    <s v="EMP084"/>
    <s v="William Williams"/>
    <s v="MKT04"/>
    <d v="2021-02-06T00:00:00"/>
    <n v="66688"/>
    <n v="40"/>
    <x v="1"/>
    <x v="1"/>
    <n v="5.4194444444444443"/>
    <x v="2"/>
    <n v="0"/>
    <n v="0"/>
  </r>
  <r>
    <s v="EMP142"/>
    <s v="James Jones"/>
    <s v="IT02"/>
    <d v="2021-07-17T00:00:00"/>
    <n v="91672"/>
    <n v="88"/>
    <x v="0"/>
    <x v="0"/>
    <n v="4.9722222222222223"/>
    <x v="3"/>
    <n v="0.08"/>
    <n v="7333.76"/>
  </r>
  <r>
    <s v="EMP143"/>
    <s v="Jessica Gonzalez"/>
    <s v="HR01"/>
    <d v="2013-11-16T00:00:00"/>
    <n v="77737"/>
    <n v="77"/>
    <x v="0"/>
    <x v="5"/>
    <n v="12.641666666666667"/>
    <x v="1"/>
    <n v="0.05"/>
    <n v="3886.8500000000004"/>
  </r>
  <r>
    <s v="EMP090"/>
    <s v="Sarah Miller"/>
    <s v="SAL05"/>
    <d v="2019-02-17T00:00:00"/>
    <n v="95686"/>
    <n v="91"/>
    <x v="0"/>
    <x v="4"/>
    <n v="7.3888888888888893"/>
    <x v="3"/>
    <n v="0.08"/>
    <n v="7654.88"/>
  </r>
  <r>
    <s v="EMP009"/>
    <s v="Jessica Smith"/>
    <s v="SAL05"/>
    <d v="2016-12-09T00:00:00"/>
    <n v="114681"/>
    <n v="36"/>
    <x v="0"/>
    <x v="4"/>
    <n v="9.5777777777777775"/>
    <x v="2"/>
    <n v="0"/>
    <n v="0"/>
  </r>
  <r>
    <s v="EMP014"/>
    <s v="Thomas Jones"/>
    <s v="OPS06"/>
    <d v="2013-08-21T00:00:00"/>
    <n v="109121"/>
    <n v="72"/>
    <x v="0"/>
    <x v="3"/>
    <n v="12.877777777777778"/>
    <x v="1"/>
    <n v="0.05"/>
    <n v="5456.05"/>
  </r>
  <r>
    <s v="EMP060"/>
    <s v="Amanda Brown"/>
    <s v="MKT04"/>
    <d v="2020-06-14T00:00:00"/>
    <n v="112791"/>
    <n v="87"/>
    <x v="0"/>
    <x v="1"/>
    <n v="6.0638888888888891"/>
    <x v="3"/>
    <n v="0.08"/>
    <n v="9023.2800000000007"/>
  </r>
  <r>
    <s v="EMP135"/>
    <s v="Robert Martinez"/>
    <s v="IT02"/>
    <d v="2005-07-22T00:00:00"/>
    <n v="118008"/>
    <n v="71"/>
    <x v="0"/>
    <x v="0"/>
    <n v="20.958333333333332"/>
    <x v="1"/>
    <n v="0.05"/>
    <n v="5900.4000000000005"/>
  </r>
  <r>
    <s v="EMP004"/>
    <s v="Thomas Miller"/>
    <s v="IT02"/>
    <d v="2016-07-10T00:00:00"/>
    <n v="74370"/>
    <n v="82"/>
    <x v="0"/>
    <x v="0"/>
    <n v="9.9916666666666671"/>
    <x v="1"/>
    <n v="0.05"/>
    <n v="3718.5"/>
  </r>
  <r>
    <s v="EMP018"/>
    <s v="David Rodriguez"/>
    <s v="IT02"/>
    <d v="2022-04-23T00:00:00"/>
    <n v="77819"/>
    <n v="79"/>
    <x v="0"/>
    <x v="0"/>
    <n v="4.2055555555555557"/>
    <x v="1"/>
    <n v="0.05"/>
    <n v="3890.9500000000003"/>
  </r>
  <r>
    <s v="EMP039"/>
    <s v="Jane Miller"/>
    <s v="MKT04"/>
    <d v="2017-05-10T00:00:00"/>
    <n v="48748"/>
    <n v="83"/>
    <x v="0"/>
    <x v="1"/>
    <n v="9.1583333333333332"/>
    <x v="1"/>
    <n v="0.05"/>
    <n v="2437.4"/>
  </r>
  <r>
    <s v="EMP073"/>
    <s v="James Rodriguez"/>
    <s v="OPS06"/>
    <d v="2020-05-20T00:00:00"/>
    <n v="101997"/>
    <n v="38"/>
    <x v="2"/>
    <x v="3"/>
    <n v="6.1305555555555555"/>
    <x v="2"/>
    <n v="0"/>
    <n v="0"/>
  </r>
  <r>
    <s v="EMP138"/>
    <s v="Sarah Rodriguez"/>
    <s v="HR01"/>
    <d v="2023-04-20T00:00:00"/>
    <n v="115260"/>
    <n v="77"/>
    <x v="0"/>
    <x v="5"/>
    <n v="3.213888888888889"/>
    <x v="1"/>
    <n v="0.05"/>
    <n v="5763"/>
  </r>
  <r>
    <s v="EMP007"/>
    <s v="Sarah Wilson"/>
    <s v="SAL05"/>
    <d v="2021-10-31T00:00:00"/>
    <n v="82713.428571428594"/>
    <n v="49"/>
    <x v="0"/>
    <x v="4"/>
    <n v="4.6861111111111109"/>
    <x v="2"/>
    <n v="0"/>
    <n v="0"/>
  </r>
  <r>
    <s v="EMP144"/>
    <s v="Melissa Brown"/>
    <s v="IT02"/>
    <d v="2024-10-21T00:00:00"/>
    <n v="82713.428571428594"/>
    <n v="69"/>
    <x v="1"/>
    <x v="0"/>
    <n v="1.711111111111111"/>
    <x v="0"/>
    <n v="0.02"/>
    <n v="1654.2685714285719"/>
  </r>
  <r>
    <s v="EMP101"/>
    <s v="Robert Williams"/>
    <s v="SAL05"/>
    <d v="2017-09-08T00:00:00"/>
    <n v="82713.428571428594"/>
    <n v="76"/>
    <x v="0"/>
    <x v="4"/>
    <n v="8.8305555555555557"/>
    <x v="1"/>
    <n v="0.05"/>
    <n v="4135.6714285714297"/>
  </r>
  <r>
    <s v="EMP003"/>
    <s v="Melissa Rodriguez"/>
    <s v="OPS06"/>
    <d v="2023-04-01T00:00:00"/>
    <n v="60623"/>
    <n v="78"/>
    <x v="0"/>
    <x v="3"/>
    <n v="3.2666666666666666"/>
    <x v="1"/>
    <n v="0.05"/>
    <n v="3031.15"/>
  </r>
  <r>
    <s v="EMP121"/>
    <s v="James Johnson"/>
    <s v="HR01"/>
    <d v="2010-08-20T00:00:00"/>
    <n v="68092"/>
    <n v="93"/>
    <x v="0"/>
    <x v="5"/>
    <n v="15.880555555555556"/>
    <x v="3"/>
    <n v="0.08"/>
    <n v="5447.36"/>
  </r>
  <r>
    <s v="EMP064"/>
    <s v="Michael Wilson"/>
    <s v="MKT04"/>
    <d v="2022-02-04T00:00:00"/>
    <n v="88155"/>
    <n v="68"/>
    <x v="0"/>
    <x v="1"/>
    <n v="4.4249999999999998"/>
    <x v="0"/>
    <n v="0.02"/>
    <n v="1763.1000000000001"/>
  </r>
  <r>
    <s v="EMP116"/>
    <s v="William Jones"/>
    <s v="MKT04"/>
    <d v="2024-03-18T00:00:00"/>
    <n v="107903"/>
    <n v="42"/>
    <x v="0"/>
    <x v="1"/>
    <n v="2.3027777777777776"/>
    <x v="2"/>
    <n v="0"/>
    <n v="0"/>
  </r>
  <r>
    <s v="EMP055"/>
    <s v="William Williams"/>
    <s v="IT02"/>
    <d v="2018-07-24T00:00:00"/>
    <n v="62818"/>
    <n v="34"/>
    <x v="0"/>
    <x v="0"/>
    <n v="7.9527777777777775"/>
    <x v="2"/>
    <n v="0"/>
    <n v="0"/>
  </r>
  <r>
    <s v="EMP108"/>
    <s v="David Williams"/>
    <s v="HR01"/>
    <d v="2018-07-20T00:00:00"/>
    <n v="85151"/>
    <n v="35"/>
    <x v="0"/>
    <x v="5"/>
    <n v="7.9638888888888886"/>
    <x v="2"/>
    <n v="0"/>
    <n v="0"/>
  </r>
  <r>
    <s v="EMP051"/>
    <s v="Jane Davis"/>
    <s v="FIN03"/>
    <d v="2004-03-16T00:00:00"/>
    <n v="46390"/>
    <n v="95"/>
    <x v="0"/>
    <x v="2"/>
    <n v="22.308333333333334"/>
    <x v="4"/>
    <n v="0.12"/>
    <n v="5566.8"/>
  </r>
  <r>
    <s v="EMP059"/>
    <s v="John Martinez"/>
    <s v="HR01"/>
    <d v="2022-03-23T00:00:00"/>
    <n v="111920"/>
    <n v="90"/>
    <x v="1"/>
    <x v="5"/>
    <n v="4.2888888888888888"/>
    <x v="3"/>
    <n v="0.08"/>
    <n v="8953.6"/>
  </r>
  <r>
    <s v="EMP049"/>
    <s v="David Anderson"/>
    <s v="HR01"/>
    <d v="2028-07-17T00:00:00"/>
    <n v="115618"/>
    <n v="42"/>
    <x v="0"/>
    <x v="5"/>
    <n v="2.0277777777777777"/>
    <x v="2"/>
    <n v="0"/>
    <n v="0"/>
  </r>
  <r>
    <s v="EMP089"/>
    <s v="Sarah Smith"/>
    <s v="SAL05"/>
    <d v="2023-05-11T00:00:00"/>
    <n v="110618"/>
    <n v="88"/>
    <x v="2"/>
    <x v="4"/>
    <n v="3.1555555555555554"/>
    <x v="3"/>
    <n v="0.08"/>
    <n v="8849.44"/>
  </r>
  <r>
    <s v="EMP022"/>
    <s v="Melissa Hernandez"/>
    <s v="OPS06"/>
    <d v="2019-03-22T00:00:00"/>
    <n v="108395"/>
    <n v="78"/>
    <x v="1"/>
    <x v="3"/>
    <n v="7.291666666666667"/>
    <x v="1"/>
    <n v="0.05"/>
    <n v="5419.75"/>
  </r>
  <r>
    <s v="EMP058"/>
    <s v="Melissa Johnson"/>
    <s v="FIN03"/>
    <d v="2017-12-22T00:00:00"/>
    <n v="88005"/>
    <n v="69"/>
    <x v="0"/>
    <x v="2"/>
    <n v="8.5416666666666661"/>
    <x v="0"/>
    <n v="0.02"/>
    <n v="1760.1000000000001"/>
  </r>
  <r>
    <s v="EMP130"/>
    <s v="Jane Garcia"/>
    <s v="MKT04"/>
    <d v="2021-08-29T00:00:00"/>
    <n v="83007"/>
    <n v="82"/>
    <x v="0"/>
    <x v="1"/>
    <n v="4.8555555555555552"/>
    <x v="1"/>
    <n v="0.05"/>
    <n v="4150.3500000000004"/>
  </r>
  <r>
    <s v="EMP038"/>
    <s v="David Davis"/>
    <s v="IT02"/>
    <d v="2018-09-17T00:00:00"/>
    <n v="61547"/>
    <n v="68"/>
    <x v="0"/>
    <x v="0"/>
    <n v="7.8055555555555554"/>
    <x v="0"/>
    <n v="0.02"/>
    <n v="1230.94"/>
  </r>
  <r>
    <s v="EMP148"/>
    <s v="James Wilson"/>
    <s v="SAL05"/>
    <d v="2021-06-28T00:00:00"/>
    <n v="82713.428571428594"/>
    <n v="52"/>
    <x v="0"/>
    <x v="4"/>
    <n v="5.0250000000000004"/>
    <x v="0"/>
    <n v="0.02"/>
    <n v="1654.2685714285719"/>
  </r>
  <r>
    <s v="EMP002"/>
    <s v="Richard Johnson"/>
    <s v="OPS06"/>
    <d v="2003-10-17T00:00:00"/>
    <n v="50399"/>
    <n v="92"/>
    <x v="1"/>
    <x v="3"/>
    <n v="22.722222222222221"/>
    <x v="3"/>
    <n v="0.08"/>
    <n v="4031.92"/>
  </r>
  <r>
    <s v="EMP053"/>
    <s v="Richard Williams"/>
    <s v="FIN03"/>
    <d v="2015-10-22T00:00:00"/>
    <n v="82713.428571428594"/>
    <n v="62"/>
    <x v="0"/>
    <x v="2"/>
    <n v="10.708333333333334"/>
    <x v="0"/>
    <n v="0.02"/>
    <n v="1654.2685714285719"/>
  </r>
  <r>
    <s v="EMP131"/>
    <s v="John Hernandez"/>
    <s v="OPS06"/>
    <d v="2018-06-06T00:00:00"/>
    <n v="52720"/>
    <n v="68"/>
    <x v="0"/>
    <x v="3"/>
    <n v="8.0861111111111104"/>
    <x v="0"/>
    <n v="0.02"/>
    <n v="1054.4000000000001"/>
  </r>
  <r>
    <s v="EMP104"/>
    <s v="Sarah Gonzalez"/>
    <s v="OPS06"/>
    <d v="2017-07-16T00:00:00"/>
    <n v="65065"/>
    <n v="98"/>
    <x v="0"/>
    <x v="3"/>
    <n v="8.9749999999999996"/>
    <x v="4"/>
    <n v="0.12"/>
    <n v="7807.7999999999993"/>
  </r>
  <r>
    <s v="EMP100"/>
    <s v="Melissa Hernandez"/>
    <s v="SAL05"/>
    <d v="2015-06-20T00:00:00"/>
    <n v="82713.428571428594"/>
    <n v="94"/>
    <x v="2"/>
    <x v="4"/>
    <n v="11.047222222222222"/>
    <x v="3"/>
    <n v="0.08"/>
    <n v="6617.0742857142877"/>
  </r>
  <r>
    <s v="EMP117"/>
    <s v="Melissa Hernandez"/>
    <s v="OPS06"/>
    <d v="2019-05-24T00:00:00"/>
    <n v="108119"/>
    <n v="57"/>
    <x v="2"/>
    <x v="3"/>
    <n v="7.1194444444444445"/>
    <x v="0"/>
    <n v="0.02"/>
    <n v="2162.38"/>
  </r>
  <r>
    <s v="EMP088"/>
    <s v="John Davis"/>
    <s v="IT02"/>
    <d v="2020-02-26T00:00:00"/>
    <n v="82713.428571428594"/>
    <n v="96"/>
    <x v="0"/>
    <x v="0"/>
    <n v="6.3638888888888889"/>
    <x v="4"/>
    <n v="0.12"/>
    <n v="9925.6114285714302"/>
  </r>
  <r>
    <s v="EMP075"/>
    <s v="Richard Davis"/>
    <s v="HR01"/>
    <d v="2023-06-03T00:00:00"/>
    <n v="106896"/>
    <n v="52"/>
    <x v="1"/>
    <x v="5"/>
    <n v="3.0944444444444446"/>
    <x v="0"/>
    <n v="0.02"/>
    <n v="2137.92"/>
  </r>
  <r>
    <s v="EMP122"/>
    <s v="Jones"/>
    <s v="IT02"/>
    <d v="2019-01-12T00:00:00"/>
    <n v="112887"/>
    <n v="59"/>
    <x v="0"/>
    <x v="0"/>
    <n v="7.4861111111111107"/>
    <x v="0"/>
    <n v="0.02"/>
    <n v="2257.7400000000002"/>
  </r>
  <r>
    <s v="EMP021"/>
    <s v="William Rodriguez"/>
    <s v="FIN03"/>
    <d v="2023-04-21T00:00:00"/>
    <n v="85457"/>
    <n v="79"/>
    <x v="0"/>
    <x v="2"/>
    <n v="3.2111111111111112"/>
    <x v="1"/>
    <n v="0.05"/>
    <n v="4272.8500000000004"/>
  </r>
  <r>
    <s v="EMP072"/>
    <s v="Melissa Miller"/>
    <s v="SAL05"/>
    <d v="2016-05-29T00:00:00"/>
    <n v="62798"/>
    <n v="30"/>
    <x v="0"/>
    <x v="4"/>
    <n v="10.105555555555556"/>
    <x v="2"/>
    <n v="0"/>
    <n v="0"/>
  </r>
  <r>
    <s v="EMP107"/>
    <s v="Emily Martinez"/>
    <s v="OPS06"/>
    <d v="2022-05-30T00:00:00"/>
    <n v="47794"/>
    <n v="73"/>
    <x v="1"/>
    <x v="3"/>
    <n v="4.1027777777777779"/>
    <x v="1"/>
    <n v="0.05"/>
    <n v="2389.7000000000003"/>
  </r>
  <r>
    <s v="EMP093"/>
    <s v="James Rodriguez"/>
    <s v="MKT04"/>
    <d v="2003-11-16T00:00:00"/>
    <n v="93094"/>
    <n v="74"/>
    <x v="0"/>
    <x v="1"/>
    <n v="22.641666666666666"/>
    <x v="1"/>
    <n v="0.05"/>
    <n v="4654.7"/>
  </r>
  <r>
    <s v="EMP103"/>
    <s v="Amanda Brown"/>
    <s v="IT02"/>
    <d v="2022-10-14T00:00:00"/>
    <n v="118634"/>
    <n v="91"/>
    <x v="0"/>
    <x v="0"/>
    <n v="3.7305555555555556"/>
    <x v="3"/>
    <n v="0.08"/>
    <n v="9490.719999999999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s v="EMP127"/>
    <s v="Emily Brown"/>
    <x v="0"/>
    <x v="0"/>
    <n v="50361"/>
    <n v="52"/>
    <x v="0"/>
    <x v="0"/>
    <x v="0"/>
    <x v="0"/>
  </r>
  <r>
    <s v="EMP046"/>
    <s v="Richard Hernandez"/>
    <x v="1"/>
    <x v="1"/>
    <n v="112673"/>
    <n v="68"/>
    <x v="0"/>
    <x v="1"/>
    <x v="1"/>
    <x v="0"/>
  </r>
  <r>
    <s v="EMP134"/>
    <s v="Emily Gonzalez"/>
    <x v="0"/>
    <x v="2"/>
    <n v="114425"/>
    <n v="54"/>
    <x v="1"/>
    <x v="0"/>
    <x v="2"/>
    <x v="0"/>
  </r>
  <r>
    <s v="EMP139"/>
    <s v="John Martinez"/>
    <x v="2"/>
    <x v="3"/>
    <n v="103831"/>
    <n v="70"/>
    <x v="0"/>
    <x v="2"/>
    <x v="3"/>
    <x v="1"/>
  </r>
  <r>
    <s v="EMP112"/>
    <s v="Thomas Smith"/>
    <x v="0"/>
    <x v="4"/>
    <n v="73785"/>
    <n v="40"/>
    <x v="1"/>
    <x v="0"/>
    <x v="4"/>
    <x v="2"/>
  </r>
  <r>
    <s v="EMP030"/>
    <s v="Emily Johnson"/>
    <x v="3"/>
    <x v="5"/>
    <n v="115882"/>
    <n v="49"/>
    <x v="0"/>
    <x v="3"/>
    <x v="5"/>
    <x v="2"/>
  </r>
  <r>
    <s v="EMP096"/>
    <s v="John Wilson"/>
    <x v="3"/>
    <x v="6"/>
    <n v="59980"/>
    <n v="70"/>
    <x v="1"/>
    <x v="3"/>
    <x v="6"/>
    <x v="1"/>
  </r>
  <r>
    <s v="EMP098"/>
    <s v="Jessica Smith"/>
    <x v="3"/>
    <x v="7"/>
    <n v="68728"/>
    <n v="45"/>
    <x v="0"/>
    <x v="3"/>
    <x v="7"/>
    <x v="2"/>
  </r>
  <r>
    <s v="EMP095"/>
    <s v="Rodriguez"/>
    <x v="2"/>
    <x v="8"/>
    <n v="102139"/>
    <n v="79"/>
    <x v="0"/>
    <x v="2"/>
    <x v="8"/>
    <x v="1"/>
  </r>
  <r>
    <s v="EMP140"/>
    <s v="Michael Martinez"/>
    <x v="4"/>
    <x v="9"/>
    <n v="94998"/>
    <n v="58"/>
    <x v="0"/>
    <x v="4"/>
    <x v="9"/>
    <x v="0"/>
  </r>
  <r>
    <s v="EMP020"/>
    <s v="Emily Miller"/>
    <x v="4"/>
    <x v="10"/>
    <n v="118635"/>
    <n v="49"/>
    <x v="0"/>
    <x v="4"/>
    <x v="10"/>
    <x v="2"/>
  </r>
  <r>
    <s v="EMP057"/>
    <s v="Emily Hernandez"/>
    <x v="0"/>
    <x v="11"/>
    <n v="76918"/>
    <n v="62"/>
    <x v="0"/>
    <x v="0"/>
    <x v="11"/>
    <x v="0"/>
  </r>
  <r>
    <s v="EMP016"/>
    <s v="Jane Williams"/>
    <x v="1"/>
    <x v="12"/>
    <n v="61408"/>
    <n v="48"/>
    <x v="0"/>
    <x v="1"/>
    <x v="12"/>
    <x v="2"/>
  </r>
  <r>
    <s v="EMP070"/>
    <s v="Jane Miller"/>
    <x v="1"/>
    <x v="13"/>
    <n v="99990"/>
    <n v="54"/>
    <x v="0"/>
    <x v="1"/>
    <x v="13"/>
    <x v="0"/>
  </r>
  <r>
    <s v="EMP025"/>
    <s v="Robert Jones"/>
    <x v="1"/>
    <x v="14"/>
    <n v="80385"/>
    <n v="68"/>
    <x v="0"/>
    <x v="1"/>
    <x v="14"/>
    <x v="0"/>
  </r>
  <r>
    <s v="EMP031"/>
    <s v="Thomas Rodriguez"/>
    <x v="4"/>
    <x v="15"/>
    <n v="65290"/>
    <n v="77"/>
    <x v="0"/>
    <x v="4"/>
    <x v="15"/>
    <x v="1"/>
  </r>
  <r>
    <s v="EMP126"/>
    <s v="Emily Davis"/>
    <x v="0"/>
    <x v="16"/>
    <n v="105765"/>
    <n v="42"/>
    <x v="0"/>
    <x v="0"/>
    <x v="16"/>
    <x v="2"/>
  </r>
  <r>
    <s v="EMP109"/>
    <s v="James Martinez"/>
    <x v="4"/>
    <x v="17"/>
    <n v="102921"/>
    <n v="49"/>
    <x v="0"/>
    <x v="4"/>
    <x v="17"/>
    <x v="2"/>
  </r>
  <r>
    <s v="EMP066"/>
    <s v="Ashley Lopez"/>
    <x v="1"/>
    <x v="18"/>
    <n v="73984"/>
    <n v="93"/>
    <x v="0"/>
    <x v="1"/>
    <x v="18"/>
    <x v="3"/>
  </r>
  <r>
    <s v="EMP120"/>
    <s v="Amanda Gonzalez"/>
    <x v="0"/>
    <x v="19"/>
    <n v="82713.428571428594"/>
    <n v="75"/>
    <x v="0"/>
    <x v="0"/>
    <x v="19"/>
    <x v="1"/>
  </r>
  <r>
    <s v="EMP019"/>
    <s v="Michael Hernandez"/>
    <x v="2"/>
    <x v="20"/>
    <n v="118527"/>
    <n v="50"/>
    <x v="0"/>
    <x v="2"/>
    <x v="20"/>
    <x v="0"/>
  </r>
  <r>
    <s v="EMP013"/>
    <s v="Richard Hernandez"/>
    <x v="1"/>
    <x v="21"/>
    <n v="107871"/>
    <n v="88"/>
    <x v="0"/>
    <x v="1"/>
    <x v="21"/>
    <x v="3"/>
  </r>
  <r>
    <s v="EMP010"/>
    <s v="Michael Rodriguez"/>
    <x v="0"/>
    <x v="22"/>
    <n v="93956"/>
    <n v="50"/>
    <x v="1"/>
    <x v="0"/>
    <x v="22"/>
    <x v="0"/>
  </r>
  <r>
    <s v="EMP032"/>
    <s v="Jessica Johnson"/>
    <x v="2"/>
    <x v="23"/>
    <n v="100851"/>
    <n v="64"/>
    <x v="0"/>
    <x v="2"/>
    <x v="23"/>
    <x v="0"/>
  </r>
  <r>
    <s v="EMP082"/>
    <s v="Ashley Williams"/>
    <x v="4"/>
    <x v="24"/>
    <n v="68655"/>
    <n v="32"/>
    <x v="0"/>
    <x v="4"/>
    <x v="24"/>
    <x v="2"/>
  </r>
  <r>
    <s v="EMP052"/>
    <s v="Williams"/>
    <x v="4"/>
    <x v="25"/>
    <n v="81205"/>
    <n v="59"/>
    <x v="0"/>
    <x v="4"/>
    <x v="25"/>
    <x v="0"/>
  </r>
  <r>
    <s v="EMP129"/>
    <s v="John Wilson"/>
    <x v="4"/>
    <x v="26"/>
    <n v="77610"/>
    <n v="88"/>
    <x v="0"/>
    <x v="4"/>
    <x v="26"/>
    <x v="3"/>
  </r>
  <r>
    <s v="EMP146"/>
    <s v="Thomas Rodriguez"/>
    <x v="0"/>
    <x v="27"/>
    <n v="50873"/>
    <n v="90"/>
    <x v="0"/>
    <x v="0"/>
    <x v="27"/>
    <x v="3"/>
  </r>
  <r>
    <s v="EMP099"/>
    <s v="Michael Wilson"/>
    <x v="2"/>
    <x v="28"/>
    <n v="85312"/>
    <n v="66"/>
    <x v="0"/>
    <x v="2"/>
    <x v="28"/>
    <x v="0"/>
  </r>
  <r>
    <s v="EMP015"/>
    <s v="John Rodriguez"/>
    <x v="4"/>
    <x v="29"/>
    <n v="82713.428571428594"/>
    <n v="68"/>
    <x v="0"/>
    <x v="4"/>
    <x v="29"/>
    <x v="0"/>
  </r>
  <r>
    <s v="EMP076"/>
    <s v="Thomas Hernandez"/>
    <x v="3"/>
    <x v="30"/>
    <n v="97055"/>
    <n v="80"/>
    <x v="0"/>
    <x v="3"/>
    <x v="30"/>
    <x v="1"/>
  </r>
  <r>
    <s v="EMP137"/>
    <s v="Michael Johnson"/>
    <x v="0"/>
    <x v="31"/>
    <n v="66069"/>
    <n v="72"/>
    <x v="0"/>
    <x v="0"/>
    <x v="31"/>
    <x v="1"/>
  </r>
  <r>
    <s v="EMP056"/>
    <s v="Sarah Brown"/>
    <x v="0"/>
    <x v="32"/>
    <n v="90157"/>
    <n v="58"/>
    <x v="0"/>
    <x v="0"/>
    <x v="32"/>
    <x v="0"/>
  </r>
  <r>
    <s v="EMP125"/>
    <s v="Jane Martinez"/>
    <x v="5"/>
    <x v="33"/>
    <n v="59899"/>
    <n v="78"/>
    <x v="0"/>
    <x v="5"/>
    <x v="33"/>
    <x v="1"/>
  </r>
  <r>
    <s v="EMP085"/>
    <s v="Emily Jones"/>
    <x v="2"/>
    <x v="34"/>
    <n v="113389"/>
    <n v="30"/>
    <x v="0"/>
    <x v="2"/>
    <x v="34"/>
    <x v="2"/>
  </r>
  <r>
    <s v="EMP106"/>
    <s v="Brown"/>
    <x v="0"/>
    <x v="35"/>
    <n v="102691"/>
    <n v="52"/>
    <x v="0"/>
    <x v="0"/>
    <x v="35"/>
    <x v="0"/>
  </r>
  <r>
    <s v="EMP043"/>
    <s v="John Wilson"/>
    <x v="3"/>
    <x v="36"/>
    <n v="111845"/>
    <n v="98"/>
    <x v="0"/>
    <x v="3"/>
    <x v="36"/>
    <x v="4"/>
  </r>
  <r>
    <s v="EMP068"/>
    <s v="Melissa Brown"/>
    <x v="4"/>
    <x v="37"/>
    <n v="69219"/>
    <n v="93"/>
    <x v="0"/>
    <x v="4"/>
    <x v="37"/>
    <x v="3"/>
  </r>
  <r>
    <s v="EMP128"/>
    <s v="Michael Smith"/>
    <x v="2"/>
    <x v="38"/>
    <n v="82713.428571428594"/>
    <n v="80"/>
    <x v="1"/>
    <x v="2"/>
    <x v="38"/>
    <x v="1"/>
  </r>
  <r>
    <s v="EMP027"/>
    <s v="Sarah Miller"/>
    <x v="3"/>
    <x v="39"/>
    <n v="57514"/>
    <n v="68"/>
    <x v="0"/>
    <x v="3"/>
    <x v="39"/>
    <x v="0"/>
  </r>
  <r>
    <s v="EMP136"/>
    <s v="Emily Wilson"/>
    <x v="4"/>
    <x v="40"/>
    <n v="86245"/>
    <n v="71"/>
    <x v="1"/>
    <x v="4"/>
    <x v="40"/>
    <x v="1"/>
  </r>
  <r>
    <s v="EMP079"/>
    <s v="David Hernandez"/>
    <x v="4"/>
    <x v="41"/>
    <n v="52407"/>
    <n v="55"/>
    <x v="0"/>
    <x v="4"/>
    <x v="41"/>
    <x v="0"/>
  </r>
  <r>
    <s v="EMP149"/>
    <s v="James Smith"/>
    <x v="3"/>
    <x v="42"/>
    <n v="66606"/>
    <n v="93"/>
    <x v="2"/>
    <x v="3"/>
    <x v="42"/>
    <x v="3"/>
  </r>
  <r>
    <s v="EMP037"/>
    <s v="Sarah Williams"/>
    <x v="0"/>
    <x v="43"/>
    <n v="81896"/>
    <n v="79"/>
    <x v="2"/>
    <x v="0"/>
    <x v="43"/>
    <x v="1"/>
  </r>
  <r>
    <s v="EMP077"/>
    <s v="Amanda Lopez"/>
    <x v="4"/>
    <x v="23"/>
    <n v="78402"/>
    <n v="54"/>
    <x v="0"/>
    <x v="4"/>
    <x v="23"/>
    <x v="0"/>
  </r>
  <r>
    <s v="EMP023"/>
    <s v="Thomas Lopez"/>
    <x v="3"/>
    <x v="44"/>
    <n v="105498"/>
    <n v="76"/>
    <x v="0"/>
    <x v="3"/>
    <x v="44"/>
    <x v="1"/>
  </r>
  <r>
    <s v="EMP133"/>
    <s v="Melissa Johnson"/>
    <x v="1"/>
    <x v="45"/>
    <n v="91749"/>
    <n v="72"/>
    <x v="1"/>
    <x v="1"/>
    <x v="45"/>
    <x v="1"/>
  </r>
  <r>
    <s v="EMP141"/>
    <s v="Amanda Johnson"/>
    <x v="3"/>
    <x v="46"/>
    <n v="99935"/>
    <n v="84"/>
    <x v="2"/>
    <x v="3"/>
    <x v="46"/>
    <x v="1"/>
  </r>
  <r>
    <s v="EMP012"/>
    <s v="John Davis"/>
    <x v="0"/>
    <x v="47"/>
    <n v="83531"/>
    <n v="30"/>
    <x v="1"/>
    <x v="0"/>
    <x v="47"/>
    <x v="2"/>
  </r>
  <r>
    <s v="EMP080"/>
    <s v="James Johnson"/>
    <x v="1"/>
    <x v="48"/>
    <n v="75023"/>
    <n v="68"/>
    <x v="0"/>
    <x v="1"/>
    <x v="48"/>
    <x v="0"/>
  </r>
  <r>
    <s v="EMP069"/>
    <s v="Jane Davis"/>
    <x v="5"/>
    <x v="49"/>
    <n v="93290"/>
    <n v="53"/>
    <x v="0"/>
    <x v="5"/>
    <x v="49"/>
    <x v="0"/>
  </r>
  <r>
    <s v="EMP150"/>
    <s v="Richard Davis"/>
    <x v="3"/>
    <x v="50"/>
    <n v="115527"/>
    <n v="63"/>
    <x v="2"/>
    <x v="3"/>
    <x v="50"/>
    <x v="0"/>
  </r>
  <r>
    <s v="EMP028"/>
    <s v="Thomas Rodriguez"/>
    <x v="2"/>
    <x v="51"/>
    <n v="55920"/>
    <n v="84"/>
    <x v="0"/>
    <x v="2"/>
    <x v="51"/>
    <x v="1"/>
  </r>
  <r>
    <s v="EMP087"/>
    <s v="Emily Johnson"/>
    <x v="4"/>
    <x v="52"/>
    <n v="80189"/>
    <n v="30"/>
    <x v="0"/>
    <x v="4"/>
    <x v="52"/>
    <x v="2"/>
  </r>
  <r>
    <s v="EMP119"/>
    <s v="Emily Garcia"/>
    <x v="5"/>
    <x v="53"/>
    <n v="118947"/>
    <n v="96"/>
    <x v="0"/>
    <x v="5"/>
    <x v="53"/>
    <x v="4"/>
  </r>
  <r>
    <s v="EMP042"/>
    <s v="Jane Anderson"/>
    <x v="0"/>
    <x v="54"/>
    <n v="82713.428571428594"/>
    <n v="54"/>
    <x v="0"/>
    <x v="0"/>
    <x v="54"/>
    <x v="0"/>
  </r>
  <r>
    <s v="EMP005"/>
    <s v="Thomas Garcia"/>
    <x v="3"/>
    <x v="55"/>
    <n v="82713.428571428594"/>
    <n v="75"/>
    <x v="0"/>
    <x v="3"/>
    <x v="55"/>
    <x v="1"/>
  </r>
  <r>
    <s v="EMP033"/>
    <s v="David Martinez"/>
    <x v="5"/>
    <x v="56"/>
    <n v="91655"/>
    <n v="95"/>
    <x v="0"/>
    <x v="5"/>
    <x v="56"/>
    <x v="4"/>
  </r>
  <r>
    <s v="EMP061"/>
    <s v="Emily Brown"/>
    <x v="0"/>
    <x v="57"/>
    <n v="49435"/>
    <n v="68"/>
    <x v="1"/>
    <x v="0"/>
    <x v="57"/>
    <x v="0"/>
  </r>
  <r>
    <s v="EMP102"/>
    <s v="Emily Wilson"/>
    <x v="4"/>
    <x v="58"/>
    <n v="110381"/>
    <n v="93"/>
    <x v="0"/>
    <x v="4"/>
    <x v="58"/>
    <x v="3"/>
  </r>
  <r>
    <s v="EMP067"/>
    <s v="Michael Anderson"/>
    <x v="5"/>
    <x v="59"/>
    <n v="114748"/>
    <n v="33"/>
    <x v="0"/>
    <x v="5"/>
    <x v="59"/>
    <x v="2"/>
  </r>
  <r>
    <s v="EMP017"/>
    <s v="Robert Johnson"/>
    <x v="3"/>
    <x v="60"/>
    <n v="63302"/>
    <n v="91"/>
    <x v="0"/>
    <x v="3"/>
    <x v="60"/>
    <x v="3"/>
  </r>
  <r>
    <s v="EMP123"/>
    <s v="Robert Miller"/>
    <x v="0"/>
    <x v="61"/>
    <n v="75519"/>
    <n v="64"/>
    <x v="0"/>
    <x v="0"/>
    <x v="61"/>
    <x v="0"/>
  </r>
  <r>
    <s v="EMP011"/>
    <s v="Jane Davis"/>
    <x v="2"/>
    <x v="62"/>
    <n v="103891"/>
    <n v="80"/>
    <x v="0"/>
    <x v="2"/>
    <x v="62"/>
    <x v="1"/>
  </r>
  <r>
    <s v="EMP091"/>
    <s v="Thomas Davis"/>
    <x v="3"/>
    <x v="63"/>
    <n v="82713.428571428594"/>
    <n v="46"/>
    <x v="1"/>
    <x v="3"/>
    <x v="63"/>
    <x v="2"/>
  </r>
  <r>
    <s v="EMP145"/>
    <s v="Thomas Jones"/>
    <x v="1"/>
    <x v="64"/>
    <n v="50936"/>
    <n v="99"/>
    <x v="0"/>
    <x v="1"/>
    <x v="64"/>
    <x v="4"/>
  </r>
  <r>
    <s v="EMP001"/>
    <s v="Michael Miller"/>
    <x v="4"/>
    <x v="65"/>
    <n v="111240"/>
    <n v="68"/>
    <x v="0"/>
    <x v="4"/>
    <x v="65"/>
    <x v="0"/>
  </r>
  <r>
    <s v="EMP113"/>
    <s v="Richard Gonzalez"/>
    <x v="5"/>
    <x v="66"/>
    <n v="51567"/>
    <n v="87"/>
    <x v="2"/>
    <x v="5"/>
    <x v="66"/>
    <x v="3"/>
  </r>
  <r>
    <s v="EMP065"/>
    <s v="Melissa Williams"/>
    <x v="5"/>
    <x v="67"/>
    <n v="82713.428571428594"/>
    <n v="36"/>
    <x v="0"/>
    <x v="5"/>
    <x v="67"/>
    <x v="2"/>
  </r>
  <r>
    <s v="EMP045"/>
    <s v="Robert Miller"/>
    <x v="5"/>
    <x v="68"/>
    <n v="55270"/>
    <n v="87"/>
    <x v="0"/>
    <x v="5"/>
    <x v="68"/>
    <x v="3"/>
  </r>
  <r>
    <s v="EMP083"/>
    <s v="William Garcia"/>
    <x v="4"/>
    <x v="69"/>
    <n v="65235"/>
    <n v="97"/>
    <x v="0"/>
    <x v="4"/>
    <x v="69"/>
    <x v="4"/>
  </r>
  <r>
    <s v="EMP029"/>
    <s v="John Gonzalez"/>
    <x v="4"/>
    <x v="56"/>
    <n v="82713.428571428594"/>
    <n v="72"/>
    <x v="1"/>
    <x v="4"/>
    <x v="56"/>
    <x v="1"/>
  </r>
  <r>
    <s v="EMP041"/>
    <s v="James Gonzalez"/>
    <x v="4"/>
    <x v="70"/>
    <n v="82713.428571428594"/>
    <n v="65"/>
    <x v="1"/>
    <x v="4"/>
    <x v="70"/>
    <x v="0"/>
  </r>
  <r>
    <s v="EMP026"/>
    <s v="Jane Gonzalez"/>
    <x v="4"/>
    <x v="71"/>
    <n v="82713.428571428594"/>
    <n v="67"/>
    <x v="0"/>
    <x v="4"/>
    <x v="71"/>
    <x v="0"/>
  </r>
  <r>
    <s v="EMP024"/>
    <s v="David Wilson"/>
    <x v="3"/>
    <x v="72"/>
    <n v="48823"/>
    <n v="34"/>
    <x v="0"/>
    <x v="3"/>
    <x v="72"/>
    <x v="2"/>
  </r>
  <r>
    <s v="EMP111"/>
    <s v="Jane Gonzalez"/>
    <x v="2"/>
    <x v="73"/>
    <n v="45196"/>
    <n v="78"/>
    <x v="1"/>
    <x v="2"/>
    <x v="73"/>
    <x v="1"/>
  </r>
  <r>
    <s v="EMP040"/>
    <s v="Jane Rodriguez"/>
    <x v="0"/>
    <x v="74"/>
    <n v="86246"/>
    <n v="61"/>
    <x v="0"/>
    <x v="0"/>
    <x v="74"/>
    <x v="0"/>
  </r>
  <r>
    <s v="EMP086"/>
    <s v="Emily Miller"/>
    <x v="4"/>
    <x v="75"/>
    <n v="70359"/>
    <n v="74"/>
    <x v="1"/>
    <x v="4"/>
    <x v="75"/>
    <x v="1"/>
  </r>
  <r>
    <s v="EMP124"/>
    <s v="Sarah Miller"/>
    <x v="1"/>
    <x v="76"/>
    <n v="82713.428571428594"/>
    <n v="94"/>
    <x v="0"/>
    <x v="1"/>
    <x v="76"/>
    <x v="3"/>
  </r>
  <r>
    <s v="EMP132"/>
    <s v="Jessica Garcia"/>
    <x v="3"/>
    <x v="77"/>
    <n v="86480"/>
    <n v="68"/>
    <x v="0"/>
    <x v="3"/>
    <x v="77"/>
    <x v="0"/>
  </r>
  <r>
    <s v="EMP048"/>
    <s v="Richard Smith"/>
    <x v="5"/>
    <x v="78"/>
    <n v="47694"/>
    <n v="75"/>
    <x v="0"/>
    <x v="5"/>
    <x v="78"/>
    <x v="1"/>
  </r>
  <r>
    <s v="EMP114"/>
    <s v="Melissa Wilson"/>
    <x v="0"/>
    <x v="79"/>
    <n v="83724"/>
    <n v="81"/>
    <x v="2"/>
    <x v="0"/>
    <x v="79"/>
    <x v="1"/>
  </r>
  <r>
    <s v="EMP062"/>
    <s v="Thomas Williams"/>
    <x v="2"/>
    <x v="80"/>
    <n v="98299"/>
    <n v="61"/>
    <x v="0"/>
    <x v="2"/>
    <x v="80"/>
    <x v="0"/>
  </r>
  <r>
    <s v="EMP074"/>
    <s v="David Williams"/>
    <x v="2"/>
    <x v="81"/>
    <n v="82713.428571428594"/>
    <n v="68"/>
    <x v="0"/>
    <x v="2"/>
    <x v="81"/>
    <x v="0"/>
  </r>
  <r>
    <s v="EMP034"/>
    <s v="John Johnson"/>
    <x v="0"/>
    <x v="82"/>
    <n v="52287"/>
    <n v="70"/>
    <x v="0"/>
    <x v="0"/>
    <x v="82"/>
    <x v="1"/>
  </r>
  <r>
    <s v="EMP105"/>
    <s v="Richard Gonzalez"/>
    <x v="0"/>
    <x v="83"/>
    <n v="82633"/>
    <n v="98"/>
    <x v="0"/>
    <x v="0"/>
    <x v="83"/>
    <x v="4"/>
  </r>
  <r>
    <s v="EMP118"/>
    <s v="Melissa Anderson"/>
    <x v="3"/>
    <x v="84"/>
    <n v="46508"/>
    <n v="34"/>
    <x v="0"/>
    <x v="3"/>
    <x v="84"/>
    <x v="2"/>
  </r>
  <r>
    <s v="EMP063"/>
    <s v="Emily Gonzalez"/>
    <x v="5"/>
    <x v="85"/>
    <n v="86232"/>
    <n v="93"/>
    <x v="0"/>
    <x v="5"/>
    <x v="85"/>
    <x v="3"/>
  </r>
  <r>
    <s v="EMP094"/>
    <s v="Jane Davis"/>
    <x v="0"/>
    <x v="86"/>
    <n v="77545"/>
    <n v="48"/>
    <x v="0"/>
    <x v="0"/>
    <x v="86"/>
    <x v="2"/>
  </r>
  <r>
    <s v="EMP097"/>
    <s v="William Gonzalez"/>
    <x v="3"/>
    <x v="87"/>
    <n v="68683"/>
    <n v="90"/>
    <x v="0"/>
    <x v="3"/>
    <x v="87"/>
    <x v="3"/>
  </r>
  <r>
    <s v="EMP054"/>
    <s v="Thomas Jones"/>
    <x v="2"/>
    <x v="88"/>
    <n v="83932"/>
    <n v="57"/>
    <x v="1"/>
    <x v="2"/>
    <x v="88"/>
    <x v="0"/>
  </r>
  <r>
    <s v="EMP006"/>
    <s v="Jessica Anderson"/>
    <x v="5"/>
    <x v="89"/>
    <n v="56073"/>
    <n v="79"/>
    <x v="0"/>
    <x v="5"/>
    <x v="89"/>
    <x v="1"/>
  </r>
  <r>
    <s v="EMP110"/>
    <s v="Melissa Johnson"/>
    <x v="0"/>
    <x v="90"/>
    <n v="88056"/>
    <n v="66"/>
    <x v="0"/>
    <x v="0"/>
    <x v="90"/>
    <x v="0"/>
  </r>
  <r>
    <s v="EMP147"/>
    <s v="Thomas Miller"/>
    <x v="3"/>
    <x v="91"/>
    <n v="67414"/>
    <n v="84"/>
    <x v="1"/>
    <x v="3"/>
    <x v="91"/>
    <x v="1"/>
  </r>
  <r>
    <s v="EMP050"/>
    <s v="William Gonzalez"/>
    <x v="4"/>
    <x v="92"/>
    <n v="115288"/>
    <n v="61"/>
    <x v="0"/>
    <x v="4"/>
    <x v="92"/>
    <x v="0"/>
  </r>
  <r>
    <s v="EMP036"/>
    <s v="Smith"/>
    <x v="4"/>
    <x v="93"/>
    <n v="80140"/>
    <n v="58"/>
    <x v="0"/>
    <x v="4"/>
    <x v="93"/>
    <x v="0"/>
  </r>
  <r>
    <s v="EMP081"/>
    <s v="John Johnson"/>
    <x v="0"/>
    <x v="94"/>
    <n v="73087"/>
    <n v="69"/>
    <x v="0"/>
    <x v="0"/>
    <x v="94"/>
    <x v="0"/>
  </r>
  <r>
    <s v="EMP078"/>
    <s v="Jane Johnson"/>
    <x v="4"/>
    <x v="95"/>
    <n v="95292"/>
    <n v="34"/>
    <x v="0"/>
    <x v="4"/>
    <x v="95"/>
    <x v="2"/>
  </r>
  <r>
    <s v="EMP035"/>
    <s v="John Jones"/>
    <x v="0"/>
    <x v="96"/>
    <n v="82713.428571428594"/>
    <n v="33"/>
    <x v="0"/>
    <x v="0"/>
    <x v="96"/>
    <x v="2"/>
  </r>
  <r>
    <s v="EMP047"/>
    <s v="Jane Lopez"/>
    <x v="1"/>
    <x v="97"/>
    <n v="101750"/>
    <n v="84"/>
    <x v="1"/>
    <x v="1"/>
    <x v="97"/>
    <x v="1"/>
  </r>
  <r>
    <s v="EMP008"/>
    <s v="Melissa Gonzalez"/>
    <x v="1"/>
    <x v="98"/>
    <n v="82992"/>
    <n v="79"/>
    <x v="0"/>
    <x v="1"/>
    <x v="98"/>
    <x v="1"/>
  </r>
  <r>
    <s v="EMP044"/>
    <s v="William Davis"/>
    <x v="0"/>
    <x v="99"/>
    <n v="49942"/>
    <n v="51"/>
    <x v="0"/>
    <x v="0"/>
    <x v="99"/>
    <x v="0"/>
  </r>
  <r>
    <s v="EMP071"/>
    <s v="John Smith"/>
    <x v="3"/>
    <x v="100"/>
    <n v="89060"/>
    <n v="58"/>
    <x v="0"/>
    <x v="3"/>
    <x v="100"/>
    <x v="0"/>
  </r>
  <r>
    <s v="EMP115"/>
    <s v="James Gonzalez"/>
    <x v="0"/>
    <x v="101"/>
    <n v="53786"/>
    <n v="98"/>
    <x v="0"/>
    <x v="0"/>
    <x v="101"/>
    <x v="4"/>
  </r>
  <r>
    <s v="EMP092"/>
    <s v="Emily Johnson"/>
    <x v="3"/>
    <x v="102"/>
    <n v="81167"/>
    <n v="68"/>
    <x v="0"/>
    <x v="3"/>
    <x v="102"/>
    <x v="0"/>
  </r>
  <r>
    <s v="EMP084"/>
    <s v="William Williams"/>
    <x v="1"/>
    <x v="103"/>
    <n v="66688"/>
    <n v="40"/>
    <x v="1"/>
    <x v="1"/>
    <x v="103"/>
    <x v="2"/>
  </r>
  <r>
    <s v="EMP142"/>
    <s v="James Jones"/>
    <x v="0"/>
    <x v="104"/>
    <n v="91672"/>
    <n v="88"/>
    <x v="0"/>
    <x v="0"/>
    <x v="104"/>
    <x v="3"/>
  </r>
  <r>
    <s v="EMP143"/>
    <s v="Jessica Gonzalez"/>
    <x v="5"/>
    <x v="105"/>
    <n v="77737"/>
    <n v="77"/>
    <x v="0"/>
    <x v="5"/>
    <x v="105"/>
    <x v="1"/>
  </r>
  <r>
    <s v="EMP090"/>
    <s v="Sarah Miller"/>
    <x v="4"/>
    <x v="98"/>
    <n v="95686"/>
    <n v="91"/>
    <x v="0"/>
    <x v="4"/>
    <x v="98"/>
    <x v="3"/>
  </r>
  <r>
    <s v="EMP009"/>
    <s v="Jessica Smith"/>
    <x v="4"/>
    <x v="106"/>
    <n v="114681"/>
    <n v="36"/>
    <x v="0"/>
    <x v="4"/>
    <x v="106"/>
    <x v="2"/>
  </r>
  <r>
    <s v="EMP014"/>
    <s v="Thomas Jones"/>
    <x v="3"/>
    <x v="107"/>
    <n v="109121"/>
    <n v="72"/>
    <x v="0"/>
    <x v="3"/>
    <x v="107"/>
    <x v="1"/>
  </r>
  <r>
    <s v="EMP060"/>
    <s v="Amanda Brown"/>
    <x v="1"/>
    <x v="108"/>
    <n v="112791"/>
    <n v="87"/>
    <x v="0"/>
    <x v="1"/>
    <x v="108"/>
    <x v="3"/>
  </r>
  <r>
    <s v="EMP135"/>
    <s v="Robert Martinez"/>
    <x v="0"/>
    <x v="109"/>
    <n v="118008"/>
    <n v="71"/>
    <x v="0"/>
    <x v="0"/>
    <x v="109"/>
    <x v="1"/>
  </r>
  <r>
    <s v="EMP004"/>
    <s v="Thomas Miller"/>
    <x v="0"/>
    <x v="110"/>
    <n v="74370"/>
    <n v="82"/>
    <x v="0"/>
    <x v="0"/>
    <x v="110"/>
    <x v="1"/>
  </r>
  <r>
    <s v="EMP018"/>
    <s v="David Rodriguez"/>
    <x v="0"/>
    <x v="111"/>
    <n v="77819"/>
    <n v="79"/>
    <x v="0"/>
    <x v="0"/>
    <x v="111"/>
    <x v="1"/>
  </r>
  <r>
    <s v="EMP039"/>
    <s v="Jane Miller"/>
    <x v="1"/>
    <x v="112"/>
    <n v="48748"/>
    <n v="83"/>
    <x v="0"/>
    <x v="1"/>
    <x v="112"/>
    <x v="1"/>
  </r>
  <r>
    <s v="EMP073"/>
    <s v="James Rodriguez"/>
    <x v="3"/>
    <x v="113"/>
    <n v="101997"/>
    <n v="38"/>
    <x v="2"/>
    <x v="3"/>
    <x v="113"/>
    <x v="2"/>
  </r>
  <r>
    <s v="EMP138"/>
    <s v="Sarah Rodriguez"/>
    <x v="5"/>
    <x v="114"/>
    <n v="115260"/>
    <n v="77"/>
    <x v="0"/>
    <x v="5"/>
    <x v="114"/>
    <x v="1"/>
  </r>
  <r>
    <s v="EMP007"/>
    <s v="Sarah Wilson"/>
    <x v="4"/>
    <x v="115"/>
    <n v="82713.428571428594"/>
    <n v="49"/>
    <x v="0"/>
    <x v="4"/>
    <x v="115"/>
    <x v="2"/>
  </r>
  <r>
    <s v="EMP144"/>
    <s v="Melissa Brown"/>
    <x v="0"/>
    <x v="116"/>
    <n v="82713.428571428594"/>
    <n v="69"/>
    <x v="1"/>
    <x v="0"/>
    <x v="116"/>
    <x v="0"/>
  </r>
  <r>
    <s v="EMP101"/>
    <s v="Robert Williams"/>
    <x v="4"/>
    <x v="117"/>
    <n v="82713.428571428594"/>
    <n v="76"/>
    <x v="0"/>
    <x v="4"/>
    <x v="117"/>
    <x v="1"/>
  </r>
  <r>
    <s v="EMP003"/>
    <s v="Melissa Rodriguez"/>
    <x v="3"/>
    <x v="118"/>
    <n v="60623"/>
    <n v="78"/>
    <x v="0"/>
    <x v="3"/>
    <x v="118"/>
    <x v="1"/>
  </r>
  <r>
    <s v="EMP121"/>
    <s v="James Johnson"/>
    <x v="5"/>
    <x v="119"/>
    <n v="68092"/>
    <n v="93"/>
    <x v="0"/>
    <x v="5"/>
    <x v="119"/>
    <x v="3"/>
  </r>
  <r>
    <s v="EMP064"/>
    <s v="Michael Wilson"/>
    <x v="1"/>
    <x v="120"/>
    <n v="88155"/>
    <n v="68"/>
    <x v="0"/>
    <x v="1"/>
    <x v="120"/>
    <x v="0"/>
  </r>
  <r>
    <s v="EMP116"/>
    <s v="William Jones"/>
    <x v="1"/>
    <x v="121"/>
    <n v="107903"/>
    <n v="42"/>
    <x v="0"/>
    <x v="1"/>
    <x v="121"/>
    <x v="2"/>
  </r>
  <r>
    <s v="EMP055"/>
    <s v="William Williams"/>
    <x v="0"/>
    <x v="122"/>
    <n v="62818"/>
    <n v="34"/>
    <x v="0"/>
    <x v="0"/>
    <x v="122"/>
    <x v="2"/>
  </r>
  <r>
    <s v="EMP108"/>
    <s v="David Williams"/>
    <x v="5"/>
    <x v="123"/>
    <n v="85151"/>
    <n v="35"/>
    <x v="0"/>
    <x v="5"/>
    <x v="123"/>
    <x v="2"/>
  </r>
  <r>
    <s v="EMP051"/>
    <s v="Jane Davis"/>
    <x v="2"/>
    <x v="124"/>
    <n v="46390"/>
    <n v="95"/>
    <x v="0"/>
    <x v="2"/>
    <x v="124"/>
    <x v="4"/>
  </r>
  <r>
    <s v="EMP059"/>
    <s v="John Martinez"/>
    <x v="5"/>
    <x v="125"/>
    <n v="111920"/>
    <n v="90"/>
    <x v="1"/>
    <x v="5"/>
    <x v="125"/>
    <x v="3"/>
  </r>
  <r>
    <s v="EMP049"/>
    <s v="David Anderson"/>
    <x v="5"/>
    <x v="126"/>
    <n v="115618"/>
    <n v="42"/>
    <x v="0"/>
    <x v="5"/>
    <x v="126"/>
    <x v="2"/>
  </r>
  <r>
    <s v="EMP089"/>
    <s v="Sarah Smith"/>
    <x v="4"/>
    <x v="127"/>
    <n v="110618"/>
    <n v="88"/>
    <x v="2"/>
    <x v="4"/>
    <x v="127"/>
    <x v="3"/>
  </r>
  <r>
    <s v="EMP022"/>
    <s v="Melissa Hernandez"/>
    <x v="3"/>
    <x v="128"/>
    <n v="108395"/>
    <n v="78"/>
    <x v="1"/>
    <x v="3"/>
    <x v="128"/>
    <x v="1"/>
  </r>
  <r>
    <s v="EMP058"/>
    <s v="Melissa Johnson"/>
    <x v="2"/>
    <x v="129"/>
    <n v="88005"/>
    <n v="69"/>
    <x v="0"/>
    <x v="2"/>
    <x v="129"/>
    <x v="0"/>
  </r>
  <r>
    <s v="EMP130"/>
    <s v="Jane Garcia"/>
    <x v="1"/>
    <x v="46"/>
    <n v="83007"/>
    <n v="82"/>
    <x v="0"/>
    <x v="1"/>
    <x v="46"/>
    <x v="1"/>
  </r>
  <r>
    <s v="EMP038"/>
    <s v="David Davis"/>
    <x v="0"/>
    <x v="130"/>
    <n v="61547"/>
    <n v="68"/>
    <x v="0"/>
    <x v="0"/>
    <x v="130"/>
    <x v="0"/>
  </r>
  <r>
    <s v="EMP148"/>
    <s v="James Wilson"/>
    <x v="4"/>
    <x v="131"/>
    <n v="82713.428571428594"/>
    <n v="52"/>
    <x v="0"/>
    <x v="4"/>
    <x v="131"/>
    <x v="0"/>
  </r>
  <r>
    <s v="EMP002"/>
    <s v="Richard Johnson"/>
    <x v="3"/>
    <x v="132"/>
    <n v="50399"/>
    <n v="92"/>
    <x v="1"/>
    <x v="3"/>
    <x v="132"/>
    <x v="3"/>
  </r>
  <r>
    <s v="EMP053"/>
    <s v="Richard Williams"/>
    <x v="2"/>
    <x v="133"/>
    <n v="82713.428571428594"/>
    <n v="62"/>
    <x v="0"/>
    <x v="2"/>
    <x v="133"/>
    <x v="0"/>
  </r>
  <r>
    <s v="EMP131"/>
    <s v="John Hernandez"/>
    <x v="3"/>
    <x v="134"/>
    <n v="52720"/>
    <n v="68"/>
    <x v="0"/>
    <x v="3"/>
    <x v="134"/>
    <x v="0"/>
  </r>
  <r>
    <s v="EMP104"/>
    <s v="Sarah Gonzalez"/>
    <x v="3"/>
    <x v="135"/>
    <n v="65065"/>
    <n v="98"/>
    <x v="0"/>
    <x v="3"/>
    <x v="135"/>
    <x v="4"/>
  </r>
  <r>
    <s v="EMP100"/>
    <s v="Melissa Hernandez"/>
    <x v="4"/>
    <x v="136"/>
    <n v="82713.428571428594"/>
    <n v="94"/>
    <x v="2"/>
    <x v="4"/>
    <x v="136"/>
    <x v="3"/>
  </r>
  <r>
    <s v="EMP117"/>
    <s v="Melissa Hernandez"/>
    <x v="3"/>
    <x v="137"/>
    <n v="108119"/>
    <n v="57"/>
    <x v="2"/>
    <x v="3"/>
    <x v="137"/>
    <x v="0"/>
  </r>
  <r>
    <s v="EMP088"/>
    <s v="John Davis"/>
    <x v="0"/>
    <x v="138"/>
    <n v="82713.428571428594"/>
    <n v="96"/>
    <x v="0"/>
    <x v="0"/>
    <x v="138"/>
    <x v="4"/>
  </r>
  <r>
    <s v="EMP075"/>
    <s v="Richard Davis"/>
    <x v="5"/>
    <x v="139"/>
    <n v="106896"/>
    <n v="52"/>
    <x v="1"/>
    <x v="5"/>
    <x v="139"/>
    <x v="0"/>
  </r>
  <r>
    <s v="EMP122"/>
    <s v="Jones"/>
    <x v="0"/>
    <x v="140"/>
    <n v="112887"/>
    <n v="59"/>
    <x v="0"/>
    <x v="0"/>
    <x v="140"/>
    <x v="0"/>
  </r>
  <r>
    <s v="EMP021"/>
    <s v="William Rodriguez"/>
    <x v="2"/>
    <x v="141"/>
    <n v="85457"/>
    <n v="79"/>
    <x v="0"/>
    <x v="2"/>
    <x v="141"/>
    <x v="1"/>
  </r>
  <r>
    <s v="EMP072"/>
    <s v="Melissa Miller"/>
    <x v="4"/>
    <x v="142"/>
    <n v="62798"/>
    <n v="30"/>
    <x v="0"/>
    <x v="4"/>
    <x v="142"/>
    <x v="2"/>
  </r>
  <r>
    <s v="EMP107"/>
    <s v="Emily Martinez"/>
    <x v="3"/>
    <x v="143"/>
    <n v="47794"/>
    <n v="73"/>
    <x v="1"/>
    <x v="3"/>
    <x v="143"/>
    <x v="1"/>
  </r>
  <r>
    <s v="EMP093"/>
    <s v="James Rodriguez"/>
    <x v="1"/>
    <x v="144"/>
    <n v="93094"/>
    <n v="74"/>
    <x v="0"/>
    <x v="1"/>
    <x v="144"/>
    <x v="1"/>
  </r>
  <r>
    <s v="EMP103"/>
    <s v="Amanda Brown"/>
    <x v="0"/>
    <x v="145"/>
    <n v="118634"/>
    <n v="91"/>
    <x v="0"/>
    <x v="0"/>
    <x v="145"/>
    <x v="3"/>
  </r>
  <r>
    <m/>
    <m/>
    <x v="6"/>
    <x v="146"/>
    <m/>
    <m/>
    <x v="3"/>
    <x v="6"/>
    <x v="146"/>
    <x v="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s v="EMP127"/>
    <s v="Emily Brown"/>
    <s v="IT02"/>
    <d v="2017-12-24T00:00:00"/>
    <n v="50361"/>
    <n v="52"/>
    <s v="Active"/>
    <s v="Information Technology"/>
    <n v="8.5361111111111114"/>
    <x v="0"/>
    <n v="0.02"/>
    <n v="1007.22"/>
  </r>
  <r>
    <s v="EMP046"/>
    <s v="Richard Hernandez"/>
    <s v="MKT04"/>
    <d v="2022-08-04T00:00:00"/>
    <n v="112673"/>
    <n v="68"/>
    <s v="Active"/>
    <s v="Marketing"/>
    <n v="3.9249999999999998"/>
    <x v="0"/>
    <n v="0.02"/>
    <n v="2253.46"/>
  </r>
  <r>
    <s v="EMP134"/>
    <s v="Emily Gonzalez"/>
    <s v="IT02"/>
    <d v="2016-02-03T00:00:00"/>
    <n v="114425"/>
    <n v="54"/>
    <s v="Left"/>
    <s v="Information Technology"/>
    <n v="10.427777777777777"/>
    <x v="0"/>
    <n v="0.02"/>
    <n v="2288.5"/>
  </r>
  <r>
    <s v="EMP139"/>
    <s v="John Martinez"/>
    <s v="FIN03"/>
    <d v="2023-03-07T00:00:00"/>
    <n v="103831"/>
    <n v="70"/>
    <s v="Active"/>
    <s v="Finance"/>
    <n v="3.3333333333333335"/>
    <x v="1"/>
    <n v="0.05"/>
    <n v="5191.55"/>
  </r>
  <r>
    <s v="EMP112"/>
    <s v="Thomas Smith"/>
    <s v="IT02"/>
    <d v="2023-02-20T00:00:00"/>
    <n v="73785"/>
    <n v="40"/>
    <s v="Left"/>
    <s v="Information Technology"/>
    <n v="3.3805555555555555"/>
    <x v="2"/>
    <n v="0"/>
    <n v="0"/>
  </r>
  <r>
    <s v="EMP030"/>
    <s v="Emily Johnson"/>
    <s v="OPS06"/>
    <d v="2020-02-03T00:00:00"/>
    <n v="115882"/>
    <n v="49"/>
    <s v="Active"/>
    <s v="Operations"/>
    <n v="6.427777777777778"/>
    <x v="2"/>
    <n v="0"/>
    <n v="0"/>
  </r>
  <r>
    <s v="EMP096"/>
    <s v="John Wilson"/>
    <s v="OPS06"/>
    <d v="2023-12-12T00:00:00"/>
    <n v="59980"/>
    <n v="70"/>
    <s v="Left"/>
    <s v="Operations"/>
    <n v="2.5694444444444446"/>
    <x v="1"/>
    <n v="0.05"/>
    <n v="2999"/>
  </r>
  <r>
    <s v="EMP098"/>
    <s v="Jessica Smith"/>
    <s v="OPS06"/>
    <d v="2020-09-12T00:00:00"/>
    <n v="68728"/>
    <n v="45"/>
    <s v="Active"/>
    <s v="Operations"/>
    <n v="5.8194444444444446"/>
    <x v="2"/>
    <n v="0"/>
    <n v="0"/>
  </r>
  <r>
    <s v="EMP095"/>
    <s v="Rodriguez"/>
    <s v="FIN03"/>
    <d v="2018-07-01T00:00:00"/>
    <n v="102139"/>
    <n v="79"/>
    <s v="Active"/>
    <s v="Finance"/>
    <n v="8.0166666666666675"/>
    <x v="1"/>
    <n v="0.05"/>
    <n v="5106.9500000000007"/>
  </r>
  <r>
    <s v="EMP140"/>
    <s v="Michael Martinez"/>
    <s v="SAL05"/>
    <d v="2016-02-11T00:00:00"/>
    <n v="94998"/>
    <n v="58"/>
    <s v="Active"/>
    <s v="Sales"/>
    <n v="10.405555555555555"/>
    <x v="0"/>
    <n v="0.02"/>
    <n v="1899.96"/>
  </r>
  <r>
    <s v="EMP020"/>
    <s v="Emily Miller"/>
    <s v="SAL05"/>
    <d v="2020-03-21T00:00:00"/>
    <n v="118635"/>
    <n v="49"/>
    <s v="Active"/>
    <s v="Sales"/>
    <n v="6.2944444444444443"/>
    <x v="2"/>
    <n v="0"/>
    <n v="0"/>
  </r>
  <r>
    <s v="EMP057"/>
    <s v="Emily Hernandez"/>
    <s v="IT02"/>
    <d v="2016-02-25T00:00:00"/>
    <n v="76918"/>
    <n v="62"/>
    <s v="Active"/>
    <s v="Information Technology"/>
    <n v="10.366666666666667"/>
    <x v="0"/>
    <n v="0.02"/>
    <n v="1538.3600000000001"/>
  </r>
  <r>
    <s v="EMP016"/>
    <s v="Jane Williams"/>
    <s v="MKT04"/>
    <d v="2017-06-21T00:00:00"/>
    <n v="61408"/>
    <n v="48"/>
    <s v="Active"/>
    <s v="Marketing"/>
    <n v="9.0444444444444443"/>
    <x v="2"/>
    <n v="0"/>
    <n v="0"/>
  </r>
  <r>
    <s v="EMP070"/>
    <s v="Jane Miller"/>
    <s v="MKT04"/>
    <d v="2020-06-19T00:00:00"/>
    <n v="99990"/>
    <n v="54"/>
    <s v="Active"/>
    <s v="Marketing"/>
    <n v="6.05"/>
    <x v="0"/>
    <n v="0.02"/>
    <n v="1999.8"/>
  </r>
  <r>
    <s v="EMP025"/>
    <s v="Robert Jones"/>
    <s v="MKT04"/>
    <d v="2019-12-21T00:00:00"/>
    <n v="80385"/>
    <n v="68"/>
    <s v="Active"/>
    <s v="Marketing"/>
    <n v="6.5444444444444443"/>
    <x v="0"/>
    <n v="0.02"/>
    <n v="1607.7"/>
  </r>
  <r>
    <s v="EMP031"/>
    <s v="Thomas Rodriguez"/>
    <s v="SAL05"/>
    <d v="2023-08-31T00:00:00"/>
    <n v="65290"/>
    <n v="77"/>
    <s v="Active"/>
    <s v="Sales"/>
    <n v="2.8527777777777779"/>
    <x v="1"/>
    <n v="0.05"/>
    <n v="3264.5"/>
  </r>
  <r>
    <s v="EMP126"/>
    <s v="Emily Davis"/>
    <s v="IT02"/>
    <d v="2015-11-29T00:00:00"/>
    <n v="105765"/>
    <n v="42"/>
    <s v="Active"/>
    <s v="Information Technology"/>
    <n v="10.605555555555556"/>
    <x v="2"/>
    <n v="0"/>
    <n v="0"/>
  </r>
  <r>
    <s v="EMP109"/>
    <s v="James Martinez"/>
    <s v="SAL05"/>
    <d v="2017-06-13T00:00:00"/>
    <n v="102921"/>
    <n v="49"/>
    <s v="Active"/>
    <s v="Sales"/>
    <n v="9.0666666666666664"/>
    <x v="2"/>
    <n v="0"/>
    <n v="0"/>
  </r>
  <r>
    <s v="EMP066"/>
    <s v="Ashley Lopez"/>
    <s v="MKT04"/>
    <d v="2018-05-15T00:00:00"/>
    <n v="73984"/>
    <n v="93"/>
    <s v="Active"/>
    <s v="Marketing"/>
    <n v="8.1444444444444439"/>
    <x v="3"/>
    <n v="0.08"/>
    <n v="5918.72"/>
  </r>
  <r>
    <s v="EMP120"/>
    <s v="Amanda Gonzalez"/>
    <s v="IT02"/>
    <d v="2016-07-24T00:00:00"/>
    <n v="82713.428571428594"/>
    <n v="75"/>
    <s v="Active"/>
    <s v="Information Technology"/>
    <n v="9.9527777777777775"/>
    <x v="1"/>
    <n v="0.05"/>
    <n v="4135.6714285714297"/>
  </r>
  <r>
    <s v="EMP019"/>
    <s v="Michael Hernandez"/>
    <s v="FIN03"/>
    <d v="2017-07-12T00:00:00"/>
    <n v="118527"/>
    <n v="50"/>
    <s v="Active"/>
    <s v="Finance"/>
    <n v="8.9861111111111107"/>
    <x v="0"/>
    <n v="0.02"/>
    <n v="2370.54"/>
  </r>
  <r>
    <s v="EMP013"/>
    <s v="Richard Hernandez"/>
    <s v="MKT04"/>
    <d v="2021-06-06T00:00:00"/>
    <n v="107871"/>
    <n v="88"/>
    <s v="Active"/>
    <s v="Marketing"/>
    <n v="5.0861111111111112"/>
    <x v="3"/>
    <n v="0.08"/>
    <n v="8629.68"/>
  </r>
  <r>
    <s v="EMP010"/>
    <s v="Michael Rodriguez"/>
    <s v="IT02"/>
    <d v="2022-11-09T00:00:00"/>
    <n v="93956"/>
    <n v="50"/>
    <s v="Left"/>
    <s v="Information Technology"/>
    <n v="3.661111111111111"/>
    <x v="0"/>
    <n v="0.02"/>
    <n v="1879.1200000000001"/>
  </r>
  <r>
    <s v="EMP032"/>
    <s v="Jessica Johnson"/>
    <s v="FIN03"/>
    <d v="2016-07-14T00:00:00"/>
    <n v="100851"/>
    <n v="64"/>
    <s v="Active"/>
    <s v="Finance"/>
    <n v="9.9805555555555561"/>
    <x v="0"/>
    <n v="0.02"/>
    <n v="2017.02"/>
  </r>
  <r>
    <s v="EMP082"/>
    <s v="Ashley Williams"/>
    <s v="SAL05"/>
    <d v="2022-06-16T00:00:00"/>
    <n v="68655"/>
    <n v="32"/>
    <s v="Active"/>
    <s v="Sales"/>
    <n v="4.0583333333333336"/>
    <x v="2"/>
    <n v="0"/>
    <n v="0"/>
  </r>
  <r>
    <s v="EMP052"/>
    <s v="Williams"/>
    <s v="SAL05"/>
    <d v="2023-07-27T00:00:00"/>
    <n v="81205"/>
    <n v="59"/>
    <s v="Active"/>
    <s v="Sales"/>
    <n v="2.9444444444444446"/>
    <x v="0"/>
    <n v="0.02"/>
    <n v="1624.1000000000001"/>
  </r>
  <r>
    <s v="EMP129"/>
    <s v="John Wilson"/>
    <s v="SAL05"/>
    <d v="2019-09-24T00:00:00"/>
    <n v="77610"/>
    <n v="88"/>
    <s v="Active"/>
    <s v="Sales"/>
    <n v="6.7861111111111114"/>
    <x v="3"/>
    <n v="0.08"/>
    <n v="6208.8"/>
  </r>
  <r>
    <s v="EMP146"/>
    <s v="Thomas Rodriguez"/>
    <s v="IT02"/>
    <d v="2022-07-23T00:00:00"/>
    <n v="50873"/>
    <n v="90"/>
    <s v="Active"/>
    <s v="Information Technology"/>
    <n v="3.9555555555555557"/>
    <x v="3"/>
    <n v="0.08"/>
    <n v="4069.84"/>
  </r>
  <r>
    <s v="EMP099"/>
    <s v="Michael Wilson"/>
    <s v="FIN03"/>
    <d v="2013-05-18T00:00:00"/>
    <n v="85312"/>
    <n v="66"/>
    <s v="Active"/>
    <s v="Finance"/>
    <n v="13.136111111111111"/>
    <x v="0"/>
    <n v="0.02"/>
    <n v="1706.24"/>
  </r>
  <r>
    <s v="EMP015"/>
    <s v="John Rodriguez"/>
    <s v="SAL05"/>
    <d v="2015-07-17T00:00:00"/>
    <n v="82713.428571428594"/>
    <n v="68"/>
    <s v="Active"/>
    <s v="Sales"/>
    <n v="10.972222222222221"/>
    <x v="0"/>
    <n v="0.02"/>
    <n v="1654.2685714285719"/>
  </r>
  <r>
    <s v="EMP076"/>
    <s v="Thomas Hernandez"/>
    <s v="OPS06"/>
    <d v="2005-08-15T00:00:00"/>
    <n v="97055"/>
    <n v="80"/>
    <s v="Active"/>
    <s v="Operations"/>
    <n v="20.894444444444446"/>
    <x v="1"/>
    <n v="0.05"/>
    <n v="4852.75"/>
  </r>
  <r>
    <s v="EMP137"/>
    <s v="Michael Johnson"/>
    <s v="IT02"/>
    <d v="2023-09-26T00:00:00"/>
    <n v="66069"/>
    <n v="72"/>
    <s v="Active"/>
    <s v="Information Technology"/>
    <n v="2.7805555555555554"/>
    <x v="1"/>
    <n v="0.05"/>
    <n v="3303.4500000000003"/>
  </r>
  <r>
    <s v="EMP056"/>
    <s v="Sarah Brown"/>
    <s v="IT02"/>
    <d v="2010-06-19T00:00:00"/>
    <n v="90157"/>
    <n v="58"/>
    <s v="Active"/>
    <s v="Information Technology"/>
    <n v="16.05"/>
    <x v="0"/>
    <n v="0.02"/>
    <n v="1803.14"/>
  </r>
  <r>
    <s v="EMP125"/>
    <s v="Jane Martinez"/>
    <s v="HR01"/>
    <d v="2022-01-17T00:00:00"/>
    <n v="59899"/>
    <n v="78"/>
    <s v="Active"/>
    <s v="Human Resources"/>
    <n v="4.4722222222222223"/>
    <x v="1"/>
    <n v="0.05"/>
    <n v="2994.9500000000003"/>
  </r>
  <r>
    <s v="EMP085"/>
    <s v="Emily Jones"/>
    <s v="FIN03"/>
    <d v="2003-07-17T00:00:00"/>
    <n v="113389"/>
    <n v="30"/>
    <s v="Active"/>
    <s v="Finance"/>
    <n v="22.972222222222221"/>
    <x v="2"/>
    <n v="0"/>
    <n v="0"/>
  </r>
  <r>
    <s v="EMP106"/>
    <s v="Brown"/>
    <s v="IT02"/>
    <d v="2001-09-15T00:00:00"/>
    <n v="102691"/>
    <n v="52"/>
    <s v="Active"/>
    <s v="Information Technology"/>
    <n v="24.81111111111111"/>
    <x v="0"/>
    <n v="0.02"/>
    <n v="2053.8200000000002"/>
  </r>
  <r>
    <s v="EMP043"/>
    <s v="John Wilson"/>
    <s v="OPS06"/>
    <d v="2003-08-22T00:00:00"/>
    <n v="111845"/>
    <n v="98"/>
    <s v="Active"/>
    <s v="Operations"/>
    <n v="22.875"/>
    <x v="4"/>
    <n v="0.12"/>
    <n v="13421.4"/>
  </r>
  <r>
    <s v="EMP068"/>
    <s v="Melissa Brown"/>
    <s v="SAL05"/>
    <d v="2022-06-29T00:00:00"/>
    <n v="69219"/>
    <n v="93"/>
    <s v="Active"/>
    <s v="Sales"/>
    <n v="4.0222222222222221"/>
    <x v="3"/>
    <n v="0.08"/>
    <n v="5537.52"/>
  </r>
  <r>
    <s v="EMP128"/>
    <s v="Michael Smith"/>
    <s v="FIN03"/>
    <d v="2020-04-28T00:00:00"/>
    <n v="82713.428571428594"/>
    <n v="80"/>
    <s v="Left"/>
    <s v="Finance"/>
    <n v="6.1916666666666664"/>
    <x v="1"/>
    <n v="0.05"/>
    <n v="4135.6714285714297"/>
  </r>
  <r>
    <s v="EMP027"/>
    <s v="Sarah Miller"/>
    <s v="OPS06"/>
    <d v="2017-09-09T00:00:00"/>
    <n v="57514"/>
    <n v="68"/>
    <s v="Active"/>
    <s v="Operations"/>
    <n v="8.8277777777777775"/>
    <x v="0"/>
    <n v="0.02"/>
    <n v="1150.28"/>
  </r>
  <r>
    <s v="EMP136"/>
    <s v="Emily Wilson"/>
    <s v="SAL05"/>
    <d v="2018-03-22T00:00:00"/>
    <n v="86245"/>
    <n v="71"/>
    <s v="Left"/>
    <s v="Sales"/>
    <n v="8.2916666666666661"/>
    <x v="1"/>
    <n v="0.05"/>
    <n v="4312.25"/>
  </r>
  <r>
    <s v="EMP079"/>
    <s v="David Hernandez"/>
    <s v="SAL05"/>
    <d v="2020-07-05T00:00:00"/>
    <n v="52407"/>
    <n v="55"/>
    <s v="Active"/>
    <s v="Sales"/>
    <n v="6.0055555555555555"/>
    <x v="0"/>
    <n v="0.02"/>
    <n v="1048.1400000000001"/>
  </r>
  <r>
    <s v="EMP149"/>
    <s v="James Smith"/>
    <s v="OPS06"/>
    <d v="2019-03-25T00:00:00"/>
    <n v="66606"/>
    <n v="93"/>
    <s v="Resigned"/>
    <s v="Operations"/>
    <n v="7.2833333333333332"/>
    <x v="3"/>
    <n v="0.08"/>
    <n v="5328.4800000000005"/>
  </r>
  <r>
    <s v="EMP037"/>
    <s v="Sarah Williams"/>
    <s v="IT02"/>
    <d v="2019-09-08T00:00:00"/>
    <n v="81896"/>
    <n v="79"/>
    <s v="Resigned"/>
    <s v="Information Technology"/>
    <n v="6.8305555555555557"/>
    <x v="1"/>
    <n v="0.05"/>
    <n v="4094.8"/>
  </r>
  <r>
    <s v="EMP077"/>
    <s v="Amanda Lopez"/>
    <s v="SAL05"/>
    <d v="2016-07-14T00:00:00"/>
    <n v="78402"/>
    <n v="54"/>
    <s v="Active"/>
    <s v="Sales"/>
    <n v="9.9805555555555561"/>
    <x v="0"/>
    <n v="0.02"/>
    <n v="1568.04"/>
  </r>
  <r>
    <s v="EMP023"/>
    <s v="Thomas Lopez"/>
    <s v="OPS06"/>
    <d v="2016-04-10T00:00:00"/>
    <n v="105498"/>
    <n v="76"/>
    <s v="Active"/>
    <s v="Operations"/>
    <n v="10.241666666666667"/>
    <x v="1"/>
    <n v="0.05"/>
    <n v="5274.9000000000005"/>
  </r>
  <r>
    <s v="EMP133"/>
    <s v="Melissa Johnson"/>
    <s v="MKT04"/>
    <d v="2010-07-19T00:00:00"/>
    <n v="91749"/>
    <n v="72"/>
    <s v="Left"/>
    <s v="Marketing"/>
    <n v="15.966666666666667"/>
    <x v="1"/>
    <n v="0.05"/>
    <n v="4587.45"/>
  </r>
  <r>
    <s v="EMP141"/>
    <s v="Amanda Johnson"/>
    <s v="OPS06"/>
    <d v="2021-08-29T00:00:00"/>
    <n v="99935"/>
    <n v="84"/>
    <s v="Resigned"/>
    <s v="Operations"/>
    <n v="4.8555555555555552"/>
    <x v="1"/>
    <n v="0.05"/>
    <n v="4996.75"/>
  </r>
  <r>
    <s v="EMP012"/>
    <s v="John Davis"/>
    <s v="IT02"/>
    <d v="2017-01-26T00:00:00"/>
    <n v="83531"/>
    <n v="30"/>
    <s v="Left"/>
    <s v="Information Technology"/>
    <n v="9.4472222222222229"/>
    <x v="2"/>
    <n v="0"/>
    <n v="0"/>
  </r>
  <r>
    <s v="EMP080"/>
    <s v="James Johnson"/>
    <s v="MKT04"/>
    <d v="2020-05-30T00:00:00"/>
    <n v="75023"/>
    <n v="68"/>
    <s v="Active"/>
    <s v="Marketing"/>
    <n v="6.1027777777777779"/>
    <x v="0"/>
    <n v="0.02"/>
    <n v="1500.46"/>
  </r>
  <r>
    <s v="EMP069"/>
    <s v="Jane Davis"/>
    <s v="HR01"/>
    <d v="2022-02-20T00:00:00"/>
    <n v="93290"/>
    <n v="53"/>
    <s v="Active"/>
    <s v="Human Resources"/>
    <n v="4.3805555555555555"/>
    <x v="0"/>
    <n v="0.02"/>
    <n v="1865.8"/>
  </r>
  <r>
    <s v="EMP150"/>
    <s v="Richard Davis"/>
    <s v="OPS06"/>
    <d v="2016-09-15T00:00:00"/>
    <n v="115527"/>
    <n v="63"/>
    <s v="Resigned"/>
    <s v="Operations"/>
    <n v="9.8111111111111118"/>
    <x v="0"/>
    <n v="0.02"/>
    <n v="2310.54"/>
  </r>
  <r>
    <s v="EMP028"/>
    <s v="Thomas Rodriguez"/>
    <s v="FIN03"/>
    <d v="2019-10-07T00:00:00"/>
    <n v="55920"/>
    <n v="84"/>
    <s v="Active"/>
    <s v="Finance"/>
    <n v="6.75"/>
    <x v="1"/>
    <n v="0.05"/>
    <n v="2796"/>
  </r>
  <r>
    <s v="EMP087"/>
    <s v="Emily Johnson"/>
    <s v="SAL05"/>
    <d v="2018-12-30T00:00:00"/>
    <n v="80189"/>
    <n v="30"/>
    <s v="Active"/>
    <s v="Sales"/>
    <n v="7.5194444444444448"/>
    <x v="2"/>
    <n v="0"/>
    <n v="0"/>
  </r>
  <r>
    <s v="EMP119"/>
    <s v="Emily Garcia"/>
    <s v="HR01"/>
    <d v="2020-12-24T00:00:00"/>
    <n v="118947"/>
    <n v="96"/>
    <s v="Active"/>
    <s v="Human Resources"/>
    <n v="5.5361111111111114"/>
    <x v="4"/>
    <n v="0.12"/>
    <n v="14273.64"/>
  </r>
  <r>
    <s v="EMP042"/>
    <s v="Jane Anderson"/>
    <s v="IT02"/>
    <d v="2023-05-07T00:00:00"/>
    <n v="82713.428571428594"/>
    <n v="54"/>
    <s v="Active"/>
    <s v="Information Technology"/>
    <n v="3.1666666666666665"/>
    <x v="0"/>
    <n v="0.02"/>
    <n v="1654.2685714285719"/>
  </r>
  <r>
    <s v="EMP005"/>
    <s v="Thomas Garcia"/>
    <s v="OPS06"/>
    <d v="2020-11-13T00:00:00"/>
    <n v="82713.428571428594"/>
    <n v="75"/>
    <s v="Active"/>
    <s v="Operations"/>
    <n v="5.65"/>
    <x v="1"/>
    <n v="0.05"/>
    <n v="4135.6714285714297"/>
  </r>
  <r>
    <s v="EMP033"/>
    <s v="David Martinez"/>
    <s v="HR01"/>
    <d v="2018-02-07T00:00:00"/>
    <n v="91655"/>
    <n v="95"/>
    <s v="Active"/>
    <s v="Human Resources"/>
    <n v="8.4166666666666661"/>
    <x v="4"/>
    <n v="0.12"/>
    <n v="10998.6"/>
  </r>
  <r>
    <s v="EMP061"/>
    <s v="Emily Brown"/>
    <s v="IT02"/>
    <d v="2023-11-25T00:00:00"/>
    <n v="49435"/>
    <n v="68"/>
    <s v="Left"/>
    <s v="Information Technology"/>
    <n v="2.6166666666666667"/>
    <x v="0"/>
    <n v="0.02"/>
    <n v="988.7"/>
  </r>
  <r>
    <s v="EMP102"/>
    <s v="Emily Wilson"/>
    <s v="SAL05"/>
    <d v="2023-10-18T00:00:00"/>
    <n v="110381"/>
    <n v="93"/>
    <s v="Active"/>
    <s v="Sales"/>
    <n v="2.7194444444444446"/>
    <x v="3"/>
    <n v="0.08"/>
    <n v="8830.48"/>
  </r>
  <r>
    <s v="EMP067"/>
    <s v="Michael Anderson"/>
    <s v="HR01"/>
    <d v="2020-05-09T00:00:00"/>
    <n v="114748"/>
    <n v="33"/>
    <s v="Active"/>
    <s v="Human Resources"/>
    <n v="6.1611111111111114"/>
    <x v="2"/>
    <n v="0"/>
    <n v="0"/>
  </r>
  <r>
    <s v="EMP017"/>
    <s v="Robert Johnson"/>
    <s v="OPS06"/>
    <d v="2017-06-03T00:00:00"/>
    <n v="63302"/>
    <n v="91"/>
    <s v="Active"/>
    <s v="Operations"/>
    <n v="9.094444444444445"/>
    <x v="3"/>
    <n v="0.08"/>
    <n v="5064.16"/>
  </r>
  <r>
    <s v="EMP123"/>
    <s v="Robert Miller"/>
    <s v="IT02"/>
    <d v="2015-04-28T00:00:00"/>
    <n v="75519"/>
    <n v="64"/>
    <s v="Active"/>
    <s v="Information Technology"/>
    <n v="11.191666666666666"/>
    <x v="0"/>
    <n v="0.02"/>
    <n v="1510.38"/>
  </r>
  <r>
    <s v="EMP011"/>
    <s v="Jane Davis"/>
    <s v="FIN03"/>
    <d v="2017-04-13T00:00:00"/>
    <n v="103891"/>
    <n v="80"/>
    <s v="Active"/>
    <s v="Finance"/>
    <n v="9.2333333333333325"/>
    <x v="1"/>
    <n v="0.05"/>
    <n v="5194.55"/>
  </r>
  <r>
    <s v="EMP091"/>
    <s v="Thomas Davis"/>
    <s v="OPS06"/>
    <d v="2022-09-23T00:00:00"/>
    <n v="82713.428571428594"/>
    <n v="46"/>
    <s v="Left"/>
    <s v="Operations"/>
    <n v="3.7888888888888888"/>
    <x v="2"/>
    <n v="0"/>
    <n v="0"/>
  </r>
  <r>
    <s v="EMP145"/>
    <s v="Thomas Jones"/>
    <s v="MKT04"/>
    <d v="2016-11-11T00:00:00"/>
    <n v="50936"/>
    <n v="99"/>
    <s v="Active"/>
    <s v="Marketing"/>
    <n v="9.655555555555555"/>
    <x v="4"/>
    <n v="0.12"/>
    <n v="6112.32"/>
  </r>
  <r>
    <s v="EMP001"/>
    <s v="Michael Miller"/>
    <s v="SAL05"/>
    <d v="2024-03-17T00:00:00"/>
    <n v="111240"/>
    <n v="68"/>
    <s v="Active"/>
    <s v="Sales"/>
    <n v="2.3055555555555554"/>
    <x v="0"/>
    <n v="0.02"/>
    <n v="2224.8000000000002"/>
  </r>
  <r>
    <s v="EMP113"/>
    <s v="Richard Gonzalez"/>
    <s v="HR01"/>
    <d v="2005-05-19T00:00:00"/>
    <n v="51567"/>
    <n v="87"/>
    <s v="Resigned"/>
    <s v="Human Resources"/>
    <n v="21.133333333333333"/>
    <x v="3"/>
    <n v="0.08"/>
    <n v="4125.3599999999997"/>
  </r>
  <r>
    <s v="EMP065"/>
    <s v="Melissa Williams"/>
    <s v="HR01"/>
    <d v="2021-07-25T00:00:00"/>
    <n v="82713.428571428594"/>
    <n v="36"/>
    <s v="Active"/>
    <s v="Human Resources"/>
    <n v="4.95"/>
    <x v="2"/>
    <n v="0"/>
    <n v="0"/>
  </r>
  <r>
    <s v="EMP045"/>
    <s v="Robert Miller"/>
    <s v="HR01"/>
    <d v="2017-09-30T00:00:00"/>
    <n v="55270"/>
    <n v="87"/>
    <s v="Active"/>
    <s v="Human Resources"/>
    <n v="8.7694444444444439"/>
    <x v="3"/>
    <n v="0.08"/>
    <n v="4421.6000000000004"/>
  </r>
  <r>
    <s v="EMP083"/>
    <s v="William Garcia"/>
    <s v="SAL05"/>
    <d v="2015-07-07T00:00:00"/>
    <n v="65235"/>
    <n v="97"/>
    <s v="Active"/>
    <s v="Sales"/>
    <n v="11"/>
    <x v="4"/>
    <n v="0.12"/>
    <n v="7828.2"/>
  </r>
  <r>
    <s v="EMP029"/>
    <s v="John Gonzalez"/>
    <s v="SAL05"/>
    <d v="2018-02-07T00:00:00"/>
    <n v="82713.428571428594"/>
    <n v="72"/>
    <s v="Left"/>
    <s v="Sales"/>
    <n v="8.4166666666666661"/>
    <x v="1"/>
    <n v="0.05"/>
    <n v="4135.6714285714297"/>
  </r>
  <r>
    <s v="EMP041"/>
    <s v="James Gonzalez"/>
    <s v="SAL05"/>
    <d v="2022-09-15T00:00:00"/>
    <n v="82713.428571428594"/>
    <n v="65"/>
    <s v="Left"/>
    <s v="Sales"/>
    <n v="3.8111111111111109"/>
    <x v="0"/>
    <n v="0.02"/>
    <n v="1654.2685714285719"/>
  </r>
  <r>
    <s v="EMP026"/>
    <s v="Jane Gonzalez"/>
    <s v="SAL05"/>
    <d v="2015-02-09T00:00:00"/>
    <n v="82713.428571428594"/>
    <n v="67"/>
    <s v="Active"/>
    <s v="Sales"/>
    <n v="11.411111111111111"/>
    <x v="0"/>
    <n v="0.02"/>
    <n v="1654.2685714285719"/>
  </r>
  <r>
    <s v="EMP024"/>
    <s v="David Wilson"/>
    <s v="OPS06"/>
    <d v="2011-10-16T00:00:00"/>
    <n v="48823"/>
    <n v="34"/>
    <s v="Active"/>
    <s v="Operations"/>
    <n v="14.725"/>
    <x v="2"/>
    <n v="0"/>
    <n v="0"/>
  </r>
  <r>
    <s v="EMP111"/>
    <s v="Jane Gonzalez"/>
    <s v="FIN03"/>
    <d v="2019-04-20T00:00:00"/>
    <n v="45196"/>
    <n v="78"/>
    <s v="Left"/>
    <s v="Finance"/>
    <n v="7.2138888888888886"/>
    <x v="1"/>
    <n v="0.05"/>
    <n v="2259.8000000000002"/>
  </r>
  <r>
    <s v="EMP040"/>
    <s v="Jane Rodriguez"/>
    <s v="IT02"/>
    <d v="2017-02-19T00:00:00"/>
    <n v="86246"/>
    <n v="61"/>
    <s v="Active"/>
    <s v="Information Technology"/>
    <n v="9.3833333333333329"/>
    <x v="0"/>
    <n v="0.02"/>
    <n v="1724.92"/>
  </r>
  <r>
    <s v="EMP086"/>
    <s v="Emily Miller"/>
    <s v="SAL05"/>
    <d v="2021-09-07T00:00:00"/>
    <n v="70359"/>
    <n v="74"/>
    <s v="Left"/>
    <s v="Sales"/>
    <n v="4.833333333333333"/>
    <x v="1"/>
    <n v="0.05"/>
    <n v="3517.9500000000003"/>
  </r>
  <r>
    <s v="EMP124"/>
    <s v="Sarah Miller"/>
    <s v="MKT04"/>
    <d v="2019-05-14T00:00:00"/>
    <n v="82713.428571428594"/>
    <n v="94"/>
    <s v="Active"/>
    <s v="Marketing"/>
    <n v="7.1472222222222221"/>
    <x v="3"/>
    <n v="0.08"/>
    <n v="6617.0742857142877"/>
  </r>
  <r>
    <s v="EMP132"/>
    <s v="Jessica Garcia"/>
    <s v="OPS06"/>
    <d v="2015-11-22T00:00:00"/>
    <n v="86480"/>
    <n v="68"/>
    <s v="Active"/>
    <s v="Operations"/>
    <n v="10.625"/>
    <x v="0"/>
    <n v="0.02"/>
    <n v="1729.6000000000001"/>
  </r>
  <r>
    <s v="EMP048"/>
    <s v="Richard Smith"/>
    <s v="HR01"/>
    <d v="2018-09-29T00:00:00"/>
    <n v="47694"/>
    <n v="75"/>
    <s v="Active"/>
    <s v="Human Resources"/>
    <n v="7.7722222222222221"/>
    <x v="1"/>
    <n v="0.05"/>
    <n v="2384.7000000000003"/>
  </r>
  <r>
    <s v="EMP114"/>
    <s v="Melissa Wilson"/>
    <s v="IT02"/>
    <d v="2023-02-09T00:00:00"/>
    <n v="83724"/>
    <n v="81"/>
    <s v="Resigned"/>
    <s v="Information Technology"/>
    <n v="3.411111111111111"/>
    <x v="1"/>
    <n v="0.05"/>
    <n v="4186.2"/>
  </r>
  <r>
    <s v="EMP062"/>
    <s v="Thomas Williams"/>
    <s v="FIN03"/>
    <d v="2022-07-17T00:00:00"/>
    <n v="98299"/>
    <n v="61"/>
    <s v="Active"/>
    <s v="Finance"/>
    <n v="3.9722222222222223"/>
    <x v="0"/>
    <n v="0.02"/>
    <n v="1965.98"/>
  </r>
  <r>
    <s v="EMP074"/>
    <s v="David Williams"/>
    <s v="FIN03"/>
    <d v="2007-02-21T00:00:00"/>
    <n v="82713.428571428594"/>
    <n v="68"/>
    <s v="Active"/>
    <s v="Finance"/>
    <n v="19.377777777777776"/>
    <x v="0"/>
    <n v="0.02"/>
    <n v="1654.2685714285719"/>
  </r>
  <r>
    <s v="EMP034"/>
    <s v="John Johnson"/>
    <s v="IT02"/>
    <d v="2023-10-04T00:00:00"/>
    <n v="52287"/>
    <n v="70"/>
    <s v="Active"/>
    <s v="Information Technology"/>
    <n v="2.7583333333333333"/>
    <x v="1"/>
    <n v="0.05"/>
    <n v="2614.3500000000004"/>
  </r>
  <r>
    <s v="EMP105"/>
    <s v="Richard Gonzalez"/>
    <s v="IT02"/>
    <d v="2020-08-30T00:00:00"/>
    <n v="82633"/>
    <n v="98"/>
    <s v="Active"/>
    <s v="Information Technology"/>
    <n v="5.8527777777777779"/>
    <x v="4"/>
    <n v="0.12"/>
    <n v="9915.9599999999991"/>
  </r>
  <r>
    <s v="EMP118"/>
    <s v="Melissa Anderson"/>
    <s v="OPS06"/>
    <d v="2021-08-14T00:00:00"/>
    <n v="46508"/>
    <n v="34"/>
    <s v="Active"/>
    <s v="Operations"/>
    <n v="4.8972222222222221"/>
    <x v="2"/>
    <n v="0"/>
    <n v="0"/>
  </r>
  <r>
    <s v="EMP063"/>
    <s v="Emily Gonzalez"/>
    <s v="HR01"/>
    <d v="2027-11-19T00:00:00"/>
    <n v="86232"/>
    <n v="93"/>
    <s v="Active"/>
    <s v="Human Resources"/>
    <n v="1.3666666666666667"/>
    <x v="3"/>
    <n v="0.08"/>
    <n v="6898.56"/>
  </r>
  <r>
    <s v="EMP094"/>
    <s v="Jane Davis"/>
    <s v="IT02"/>
    <d v="2025-05-17T00:00:00"/>
    <n v="77545"/>
    <n v="48"/>
    <s v="Active"/>
    <s v="Information Technology"/>
    <n v="1.1388888888888888"/>
    <x v="2"/>
    <n v="0"/>
    <n v="0"/>
  </r>
  <r>
    <s v="EMP097"/>
    <s v="William Gonzalez"/>
    <s v="OPS06"/>
    <d v="2018-02-12T00:00:00"/>
    <n v="68683"/>
    <n v="90"/>
    <s v="Active"/>
    <s v="Operations"/>
    <n v="8.4027777777777786"/>
    <x v="3"/>
    <n v="0.08"/>
    <n v="5494.64"/>
  </r>
  <r>
    <s v="EMP054"/>
    <s v="Thomas Jones"/>
    <s v="FIN03"/>
    <d v="2019-06-23T00:00:00"/>
    <n v="83932"/>
    <n v="57"/>
    <s v="Left"/>
    <s v="Finance"/>
    <n v="7.0388888888888888"/>
    <x v="0"/>
    <n v="0.02"/>
    <n v="1678.64"/>
  </r>
  <r>
    <s v="EMP006"/>
    <s v="Jessica Anderson"/>
    <s v="HR01"/>
    <d v="2015-10-27T00:00:00"/>
    <n v="56073"/>
    <n v="79"/>
    <s v="Active"/>
    <s v="Human Resources"/>
    <n v="10.694444444444445"/>
    <x v="1"/>
    <n v="0.05"/>
    <n v="2803.65"/>
  </r>
  <r>
    <s v="EMP110"/>
    <s v="Melissa Johnson"/>
    <s v="IT02"/>
    <d v="2018-06-19T00:00:00"/>
    <n v="88056"/>
    <n v="66"/>
    <s v="Active"/>
    <s v="Information Technology"/>
    <n v="8.0500000000000007"/>
    <x v="0"/>
    <n v="0.02"/>
    <n v="1761.1200000000001"/>
  </r>
  <r>
    <s v="EMP147"/>
    <s v="Thomas Miller"/>
    <s v="OPS06"/>
    <d v="2018-12-01T00:00:00"/>
    <n v="67414"/>
    <n v="84"/>
    <s v="Left"/>
    <s v="Operations"/>
    <n v="7.6"/>
    <x v="1"/>
    <n v="0.05"/>
    <n v="3370.7000000000003"/>
  </r>
  <r>
    <s v="EMP050"/>
    <s v="William Gonzalez"/>
    <s v="SAL05"/>
    <d v="2015-04-01T00:00:00"/>
    <n v="115288"/>
    <n v="61"/>
    <s v="Active"/>
    <s v="Sales"/>
    <n v="11.266666666666667"/>
    <x v="0"/>
    <n v="0.02"/>
    <n v="2305.7600000000002"/>
  </r>
  <r>
    <s v="EMP036"/>
    <s v="Smith"/>
    <s v="SAL05"/>
    <d v="2018-05-12T00:00:00"/>
    <n v="80140"/>
    <n v="58"/>
    <s v="Active"/>
    <s v="Sales"/>
    <n v="8.1527777777777786"/>
    <x v="0"/>
    <n v="0.02"/>
    <n v="1602.8"/>
  </r>
  <r>
    <s v="EMP081"/>
    <s v="John Johnson"/>
    <s v="IT02"/>
    <d v="2021-10-13T00:00:00"/>
    <n v="73087"/>
    <n v="69"/>
    <s v="Active"/>
    <s v="Information Technology"/>
    <n v="4.7333333333333334"/>
    <x v="0"/>
    <n v="0.02"/>
    <n v="1461.74"/>
  </r>
  <r>
    <s v="EMP078"/>
    <s v="Jane Johnson"/>
    <s v="SAL05"/>
    <d v="2020-07-09T00:00:00"/>
    <n v="95292"/>
    <n v="34"/>
    <s v="Active"/>
    <s v="Sales"/>
    <n v="5.9944444444444445"/>
    <x v="2"/>
    <n v="0"/>
    <n v="0"/>
  </r>
  <r>
    <s v="EMP035"/>
    <s v="John Jones"/>
    <s v="IT02"/>
    <d v="2019-03-08T00:00:00"/>
    <n v="82713.428571428594"/>
    <n v="33"/>
    <s v="Active"/>
    <s v="Information Technology"/>
    <n v="7.3305555555555557"/>
    <x v="2"/>
    <n v="0"/>
    <n v="0"/>
  </r>
  <r>
    <s v="EMP047"/>
    <s v="Jane Lopez"/>
    <s v="MKT04"/>
    <d v="2011-03-15T00:00:00"/>
    <n v="101750"/>
    <n v="84"/>
    <s v="Left"/>
    <s v="Marketing"/>
    <n v="15.311111111111112"/>
    <x v="1"/>
    <n v="0.05"/>
    <n v="5087.5"/>
  </r>
  <r>
    <s v="EMP008"/>
    <s v="Melissa Gonzalez"/>
    <s v="MKT04"/>
    <d v="2019-02-17T00:00:00"/>
    <n v="82992"/>
    <n v="79"/>
    <s v="Active"/>
    <s v="Marketing"/>
    <n v="7.3888888888888893"/>
    <x v="1"/>
    <n v="0.05"/>
    <n v="4149.6000000000004"/>
  </r>
  <r>
    <s v="EMP044"/>
    <s v="William Davis"/>
    <s v="IT02"/>
    <d v="2023-09-05T00:00:00"/>
    <n v="49942"/>
    <n v="51"/>
    <s v="Active"/>
    <s v="Information Technology"/>
    <n v="2.838888888888889"/>
    <x v="0"/>
    <n v="0.02"/>
    <n v="998.84"/>
  </r>
  <r>
    <s v="EMP071"/>
    <s v="John Smith"/>
    <s v="OPS06"/>
    <d v="2018-01-22T00:00:00"/>
    <n v="89060"/>
    <n v="58"/>
    <s v="Active"/>
    <s v="Operations"/>
    <n v="8.4583333333333339"/>
    <x v="0"/>
    <n v="0.02"/>
    <n v="1781.2"/>
  </r>
  <r>
    <s v="EMP115"/>
    <s v="James Gonzalez"/>
    <s v="IT02"/>
    <d v="2020-02-18T00:00:00"/>
    <n v="53786"/>
    <n v="98"/>
    <s v="Active"/>
    <s v="Information Technology"/>
    <n v="6.3861111111111111"/>
    <x v="4"/>
    <n v="0.12"/>
    <n v="6454.32"/>
  </r>
  <r>
    <s v="EMP092"/>
    <s v="Emily Johnson"/>
    <s v="OPS06"/>
    <d v="2016-05-22T00:00:00"/>
    <n v="81167"/>
    <n v="68"/>
    <s v="Active"/>
    <s v="Operations"/>
    <n v="10.125"/>
    <x v="0"/>
    <n v="0.02"/>
    <n v="1623.3400000000001"/>
  </r>
  <r>
    <s v="EMP084"/>
    <s v="William Williams"/>
    <s v="MKT04"/>
    <d v="2021-02-06T00:00:00"/>
    <n v="66688"/>
    <n v="40"/>
    <s v="Left"/>
    <s v="Marketing"/>
    <n v="5.4194444444444443"/>
    <x v="2"/>
    <n v="0"/>
    <n v="0"/>
  </r>
  <r>
    <s v="EMP142"/>
    <s v="James Jones"/>
    <s v="IT02"/>
    <d v="2021-07-17T00:00:00"/>
    <n v="91672"/>
    <n v="88"/>
    <s v="Active"/>
    <s v="Information Technology"/>
    <n v="4.9722222222222223"/>
    <x v="3"/>
    <n v="0.08"/>
    <n v="7333.76"/>
  </r>
  <r>
    <s v="EMP143"/>
    <s v="Jessica Gonzalez"/>
    <s v="HR01"/>
    <d v="2013-11-16T00:00:00"/>
    <n v="77737"/>
    <n v="77"/>
    <s v="Active"/>
    <s v="Human Resources"/>
    <n v="12.641666666666667"/>
    <x v="1"/>
    <n v="0.05"/>
    <n v="3886.8500000000004"/>
  </r>
  <r>
    <s v="EMP090"/>
    <s v="Sarah Miller"/>
    <s v="SAL05"/>
    <d v="2019-02-17T00:00:00"/>
    <n v="95686"/>
    <n v="91"/>
    <s v="Active"/>
    <s v="Sales"/>
    <n v="7.3888888888888893"/>
    <x v="3"/>
    <n v="0.08"/>
    <n v="7654.88"/>
  </r>
  <r>
    <s v="EMP009"/>
    <s v="Jessica Smith"/>
    <s v="SAL05"/>
    <d v="2016-12-09T00:00:00"/>
    <n v="114681"/>
    <n v="36"/>
    <s v="Active"/>
    <s v="Sales"/>
    <n v="9.5777777777777775"/>
    <x v="2"/>
    <n v="0"/>
    <n v="0"/>
  </r>
  <r>
    <s v="EMP014"/>
    <s v="Thomas Jones"/>
    <s v="OPS06"/>
    <d v="2013-08-21T00:00:00"/>
    <n v="109121"/>
    <n v="72"/>
    <s v="Active"/>
    <s v="Operations"/>
    <n v="12.877777777777778"/>
    <x v="1"/>
    <n v="0.05"/>
    <n v="5456.05"/>
  </r>
  <r>
    <s v="EMP060"/>
    <s v="Amanda Brown"/>
    <s v="MKT04"/>
    <d v="2020-06-14T00:00:00"/>
    <n v="112791"/>
    <n v="87"/>
    <s v="Active"/>
    <s v="Marketing"/>
    <n v="6.0638888888888891"/>
    <x v="3"/>
    <n v="0.08"/>
    <n v="9023.2800000000007"/>
  </r>
  <r>
    <s v="EMP135"/>
    <s v="Robert Martinez"/>
    <s v="IT02"/>
    <d v="2005-07-22T00:00:00"/>
    <n v="118008"/>
    <n v="71"/>
    <s v="Active"/>
    <s v="Information Technology"/>
    <n v="20.958333333333332"/>
    <x v="1"/>
    <n v="0.05"/>
    <n v="5900.4000000000005"/>
  </r>
  <r>
    <s v="EMP004"/>
    <s v="Thomas Miller"/>
    <s v="IT02"/>
    <d v="2016-07-10T00:00:00"/>
    <n v="74370"/>
    <n v="82"/>
    <s v="Active"/>
    <s v="Information Technology"/>
    <n v="9.9916666666666671"/>
    <x v="1"/>
    <n v="0.05"/>
    <n v="3718.5"/>
  </r>
  <r>
    <s v="EMP018"/>
    <s v="David Rodriguez"/>
    <s v="IT02"/>
    <d v="2022-04-23T00:00:00"/>
    <n v="77819"/>
    <n v="79"/>
    <s v="Active"/>
    <s v="Information Technology"/>
    <n v="4.2055555555555557"/>
    <x v="1"/>
    <n v="0.05"/>
    <n v="3890.9500000000003"/>
  </r>
  <r>
    <s v="EMP039"/>
    <s v="Jane Miller"/>
    <s v="MKT04"/>
    <d v="2017-05-10T00:00:00"/>
    <n v="48748"/>
    <n v="83"/>
    <s v="Active"/>
    <s v="Marketing"/>
    <n v="9.1583333333333332"/>
    <x v="1"/>
    <n v="0.05"/>
    <n v="2437.4"/>
  </r>
  <r>
    <s v="EMP073"/>
    <s v="James Rodriguez"/>
    <s v="OPS06"/>
    <d v="2020-05-20T00:00:00"/>
    <n v="101997"/>
    <n v="38"/>
    <s v="Resigned"/>
    <s v="Operations"/>
    <n v="6.1305555555555555"/>
    <x v="2"/>
    <n v="0"/>
    <n v="0"/>
  </r>
  <r>
    <s v="EMP138"/>
    <s v="Sarah Rodriguez"/>
    <s v="HR01"/>
    <d v="2023-04-20T00:00:00"/>
    <n v="115260"/>
    <n v="77"/>
    <s v="Active"/>
    <s v="Human Resources"/>
    <n v="3.213888888888889"/>
    <x v="1"/>
    <n v="0.05"/>
    <n v="5763"/>
  </r>
  <r>
    <s v="EMP007"/>
    <s v="Sarah Wilson"/>
    <s v="SAL05"/>
    <d v="2021-10-31T00:00:00"/>
    <n v="82713.428571428594"/>
    <n v="49"/>
    <s v="Active"/>
    <s v="Sales"/>
    <n v="4.6861111111111109"/>
    <x v="2"/>
    <n v="0"/>
    <n v="0"/>
  </r>
  <r>
    <s v="EMP144"/>
    <s v="Melissa Brown"/>
    <s v="IT02"/>
    <d v="2024-10-21T00:00:00"/>
    <n v="82713.428571428594"/>
    <n v="69"/>
    <s v="Left"/>
    <s v="Information Technology"/>
    <n v="1.711111111111111"/>
    <x v="0"/>
    <n v="0.02"/>
    <n v="1654.2685714285719"/>
  </r>
  <r>
    <s v="EMP101"/>
    <s v="Robert Williams"/>
    <s v="SAL05"/>
    <d v="2017-09-08T00:00:00"/>
    <n v="82713.428571428594"/>
    <n v="76"/>
    <s v="Active"/>
    <s v="Sales"/>
    <n v="8.8305555555555557"/>
    <x v="1"/>
    <n v="0.05"/>
    <n v="4135.6714285714297"/>
  </r>
  <r>
    <s v="EMP003"/>
    <s v="Melissa Rodriguez"/>
    <s v="OPS06"/>
    <d v="2023-04-01T00:00:00"/>
    <n v="60623"/>
    <n v="78"/>
    <s v="Active"/>
    <s v="Operations"/>
    <n v="3.2666666666666666"/>
    <x v="1"/>
    <n v="0.05"/>
    <n v="3031.15"/>
  </r>
  <r>
    <s v="EMP121"/>
    <s v="James Johnson"/>
    <s v="HR01"/>
    <d v="2010-08-20T00:00:00"/>
    <n v="68092"/>
    <n v="93"/>
    <s v="Active"/>
    <s v="Human Resources"/>
    <n v="15.880555555555556"/>
    <x v="3"/>
    <n v="0.08"/>
    <n v="5447.36"/>
  </r>
  <r>
    <s v="EMP064"/>
    <s v="Michael Wilson"/>
    <s v="MKT04"/>
    <d v="2022-02-04T00:00:00"/>
    <n v="88155"/>
    <n v="68"/>
    <s v="Active"/>
    <s v="Marketing"/>
    <n v="4.4249999999999998"/>
    <x v="0"/>
    <n v="0.02"/>
    <n v="1763.1000000000001"/>
  </r>
  <r>
    <s v="EMP116"/>
    <s v="William Jones"/>
    <s v="MKT04"/>
    <d v="2024-03-18T00:00:00"/>
    <n v="107903"/>
    <n v="42"/>
    <s v="Active"/>
    <s v="Marketing"/>
    <n v="2.3027777777777776"/>
    <x v="2"/>
    <n v="0"/>
    <n v="0"/>
  </r>
  <r>
    <s v="EMP055"/>
    <s v="William Williams"/>
    <s v="IT02"/>
    <d v="2018-07-24T00:00:00"/>
    <n v="62818"/>
    <n v="34"/>
    <s v="Active"/>
    <s v="Information Technology"/>
    <n v="7.9527777777777775"/>
    <x v="2"/>
    <n v="0"/>
    <n v="0"/>
  </r>
  <r>
    <s v="EMP108"/>
    <s v="David Williams"/>
    <s v="HR01"/>
    <d v="2018-07-20T00:00:00"/>
    <n v="85151"/>
    <n v="35"/>
    <s v="Active"/>
    <s v="Human Resources"/>
    <n v="7.9638888888888886"/>
    <x v="2"/>
    <n v="0"/>
    <n v="0"/>
  </r>
  <r>
    <s v="EMP051"/>
    <s v="Jane Davis"/>
    <s v="FIN03"/>
    <d v="2004-03-16T00:00:00"/>
    <n v="46390"/>
    <n v="95"/>
    <s v="Active"/>
    <s v="Finance"/>
    <n v="22.308333333333334"/>
    <x v="4"/>
    <n v="0.12"/>
    <n v="5566.8"/>
  </r>
  <r>
    <s v="EMP059"/>
    <s v="John Martinez"/>
    <s v="HR01"/>
    <d v="2022-03-23T00:00:00"/>
    <n v="111920"/>
    <n v="90"/>
    <s v="Left"/>
    <s v="Human Resources"/>
    <n v="4.2888888888888888"/>
    <x v="3"/>
    <n v="0.08"/>
    <n v="8953.6"/>
  </r>
  <r>
    <s v="EMP049"/>
    <s v="David Anderson"/>
    <s v="HR01"/>
    <d v="2028-07-17T00:00:00"/>
    <n v="115618"/>
    <n v="42"/>
    <s v="Active"/>
    <s v="Human Resources"/>
    <n v="2.0277777777777777"/>
    <x v="2"/>
    <n v="0"/>
    <n v="0"/>
  </r>
  <r>
    <s v="EMP089"/>
    <s v="Sarah Smith"/>
    <s v="SAL05"/>
    <d v="2023-05-11T00:00:00"/>
    <n v="110618"/>
    <n v="88"/>
    <s v="Resigned"/>
    <s v="Sales"/>
    <n v="3.1555555555555554"/>
    <x v="3"/>
    <n v="0.08"/>
    <n v="8849.44"/>
  </r>
  <r>
    <s v="EMP022"/>
    <s v="Melissa Hernandez"/>
    <s v="OPS06"/>
    <d v="2019-03-22T00:00:00"/>
    <n v="108395"/>
    <n v="78"/>
    <s v="Left"/>
    <s v="Operations"/>
    <n v="7.291666666666667"/>
    <x v="1"/>
    <n v="0.05"/>
    <n v="5419.75"/>
  </r>
  <r>
    <s v="EMP058"/>
    <s v="Melissa Johnson"/>
    <s v="FIN03"/>
    <d v="2017-12-22T00:00:00"/>
    <n v="88005"/>
    <n v="69"/>
    <s v="Active"/>
    <s v="Finance"/>
    <n v="8.5416666666666661"/>
    <x v="0"/>
    <n v="0.02"/>
    <n v="1760.1000000000001"/>
  </r>
  <r>
    <s v="EMP130"/>
    <s v="Jane Garcia"/>
    <s v="MKT04"/>
    <d v="2021-08-29T00:00:00"/>
    <n v="83007"/>
    <n v="82"/>
    <s v="Active"/>
    <s v="Marketing"/>
    <n v="4.8555555555555552"/>
    <x v="1"/>
    <n v="0.05"/>
    <n v="4150.3500000000004"/>
  </r>
  <r>
    <s v="EMP038"/>
    <s v="David Davis"/>
    <s v="IT02"/>
    <d v="2018-09-17T00:00:00"/>
    <n v="61547"/>
    <n v="68"/>
    <s v="Active"/>
    <s v="Information Technology"/>
    <n v="7.8055555555555554"/>
    <x v="0"/>
    <n v="0.02"/>
    <n v="1230.94"/>
  </r>
  <r>
    <s v="EMP148"/>
    <s v="James Wilson"/>
    <s v="SAL05"/>
    <d v="2021-06-28T00:00:00"/>
    <n v="82713.428571428594"/>
    <n v="52"/>
    <s v="Active"/>
    <s v="Sales"/>
    <n v="5.0250000000000004"/>
    <x v="0"/>
    <n v="0.02"/>
    <n v="1654.2685714285719"/>
  </r>
  <r>
    <s v="EMP002"/>
    <s v="Richard Johnson"/>
    <s v="OPS06"/>
    <d v="2003-10-17T00:00:00"/>
    <n v="50399"/>
    <n v="92"/>
    <s v="Left"/>
    <s v="Operations"/>
    <n v="22.722222222222221"/>
    <x v="3"/>
    <n v="0.08"/>
    <n v="4031.92"/>
  </r>
  <r>
    <s v="EMP053"/>
    <s v="Richard Williams"/>
    <s v="FIN03"/>
    <d v="2015-10-22T00:00:00"/>
    <n v="82713.428571428594"/>
    <n v="62"/>
    <s v="Active"/>
    <s v="Finance"/>
    <n v="10.708333333333334"/>
    <x v="0"/>
    <n v="0.02"/>
    <n v="1654.2685714285719"/>
  </r>
  <r>
    <s v="EMP131"/>
    <s v="John Hernandez"/>
    <s v="OPS06"/>
    <d v="2018-06-06T00:00:00"/>
    <n v="52720"/>
    <n v="68"/>
    <s v="Active"/>
    <s v="Operations"/>
    <n v="8.0861111111111104"/>
    <x v="0"/>
    <n v="0.02"/>
    <n v="1054.4000000000001"/>
  </r>
  <r>
    <s v="EMP104"/>
    <s v="Sarah Gonzalez"/>
    <s v="OPS06"/>
    <d v="2017-07-16T00:00:00"/>
    <n v="65065"/>
    <n v="98"/>
    <s v="Active"/>
    <s v="Operations"/>
    <n v="8.9749999999999996"/>
    <x v="4"/>
    <n v="0.12"/>
    <n v="7807.7999999999993"/>
  </r>
  <r>
    <s v="EMP100"/>
    <s v="Melissa Hernandez"/>
    <s v="SAL05"/>
    <d v="2015-06-20T00:00:00"/>
    <n v="82713.428571428594"/>
    <n v="94"/>
    <s v="Resigned"/>
    <s v="Sales"/>
    <n v="11.047222222222222"/>
    <x v="3"/>
    <n v="0.08"/>
    <n v="6617.0742857142877"/>
  </r>
  <r>
    <s v="EMP117"/>
    <s v="Melissa Hernandez"/>
    <s v="OPS06"/>
    <d v="2019-05-24T00:00:00"/>
    <n v="108119"/>
    <n v="57"/>
    <s v="Resigned"/>
    <s v="Operations"/>
    <n v="7.1194444444444445"/>
    <x v="0"/>
    <n v="0.02"/>
    <n v="2162.38"/>
  </r>
  <r>
    <s v="EMP088"/>
    <s v="John Davis"/>
    <s v="IT02"/>
    <d v="2020-02-26T00:00:00"/>
    <n v="82713.428571428594"/>
    <n v="96"/>
    <s v="Active"/>
    <s v="Information Technology"/>
    <n v="6.3638888888888889"/>
    <x v="4"/>
    <n v="0.12"/>
    <n v="9925.6114285714302"/>
  </r>
  <r>
    <s v="EMP075"/>
    <s v="Richard Davis"/>
    <s v="HR01"/>
    <d v="2023-06-03T00:00:00"/>
    <n v="106896"/>
    <n v="52"/>
    <s v="Left"/>
    <s v="Human Resources"/>
    <n v="3.0944444444444446"/>
    <x v="0"/>
    <n v="0.02"/>
    <n v="2137.92"/>
  </r>
  <r>
    <s v="EMP122"/>
    <s v="Jones"/>
    <s v="IT02"/>
    <d v="2019-01-12T00:00:00"/>
    <n v="112887"/>
    <n v="59"/>
    <s v="Active"/>
    <s v="Information Technology"/>
    <n v="7.4861111111111107"/>
    <x v="0"/>
    <n v="0.02"/>
    <n v="2257.7400000000002"/>
  </r>
  <r>
    <s v="EMP021"/>
    <s v="William Rodriguez"/>
    <s v="FIN03"/>
    <d v="2023-04-21T00:00:00"/>
    <n v="85457"/>
    <n v="79"/>
    <s v="Active"/>
    <s v="Finance"/>
    <n v="3.2111111111111112"/>
    <x v="1"/>
    <n v="0.05"/>
    <n v="4272.8500000000004"/>
  </r>
  <r>
    <s v="EMP072"/>
    <s v="Melissa Miller"/>
    <s v="SAL05"/>
    <d v="2016-05-29T00:00:00"/>
    <n v="62798"/>
    <n v="30"/>
    <s v="Active"/>
    <s v="Sales"/>
    <n v="10.105555555555556"/>
    <x v="2"/>
    <n v="0"/>
    <n v="0"/>
  </r>
  <r>
    <s v="EMP107"/>
    <s v="Emily Martinez"/>
    <s v="OPS06"/>
    <d v="2022-05-30T00:00:00"/>
    <n v="47794"/>
    <n v="73"/>
    <s v="Left"/>
    <s v="Operations"/>
    <n v="4.1027777777777779"/>
    <x v="1"/>
    <n v="0.05"/>
    <n v="2389.7000000000003"/>
  </r>
  <r>
    <s v="EMP093"/>
    <s v="James Rodriguez"/>
    <s v="MKT04"/>
    <d v="2003-11-16T00:00:00"/>
    <n v="93094"/>
    <n v="74"/>
    <s v="Active"/>
    <s v="Marketing"/>
    <n v="22.641666666666666"/>
    <x v="1"/>
    <n v="0.05"/>
    <n v="4654.7"/>
  </r>
  <r>
    <s v="EMP103"/>
    <s v="Amanda Brown"/>
    <s v="IT02"/>
    <d v="2022-10-14T00:00:00"/>
    <n v="118634"/>
    <n v="91"/>
    <s v="Active"/>
    <s v="Information Technology"/>
    <n v="3.7305555555555556"/>
    <x v="3"/>
    <n v="0.08"/>
    <n v="9490.7199999999993"/>
  </r>
  <r>
    <m/>
    <m/>
    <m/>
    <m/>
    <m/>
    <m/>
    <m/>
    <m/>
    <m/>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898830-82A0-408D-BF44-A067B444634D}" name="PivotTable2" cacheId="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rowHeaderCaption="Departmen Name">
  <location ref="A3:C10" firstHeaderRow="0" firstDataRow="1" firstDataCol="1"/>
  <pivotFields count="10">
    <pivotField dataField="1" showAll="0"/>
    <pivotField showAll="0"/>
    <pivotField showAll="0">
      <items count="8">
        <item x="2"/>
        <item x="5"/>
        <item x="0"/>
        <item x="1"/>
        <item x="3"/>
        <item x="4"/>
        <item x="6"/>
        <item t="default"/>
      </items>
    </pivotField>
    <pivotField showAll="0">
      <items count="148">
        <item x="35"/>
        <item x="34"/>
        <item x="36"/>
        <item x="132"/>
        <item x="144"/>
        <item x="124"/>
        <item x="66"/>
        <item x="109"/>
        <item x="30"/>
        <item x="81"/>
        <item x="32"/>
        <item x="45"/>
        <item x="119"/>
        <item x="97"/>
        <item x="72"/>
        <item x="28"/>
        <item x="107"/>
        <item x="105"/>
        <item x="71"/>
        <item x="92"/>
        <item x="61"/>
        <item x="136"/>
        <item x="69"/>
        <item x="29"/>
        <item x="133"/>
        <item x="89"/>
        <item x="77"/>
        <item x="16"/>
        <item x="2"/>
        <item x="9"/>
        <item x="11"/>
        <item x="44"/>
        <item x="102"/>
        <item x="142"/>
        <item x="110"/>
        <item x="23"/>
        <item x="19"/>
        <item x="50"/>
        <item x="64"/>
        <item x="106"/>
        <item x="47"/>
        <item x="74"/>
        <item x="62"/>
        <item x="112"/>
        <item x="60"/>
        <item x="17"/>
        <item x="12"/>
        <item x="20"/>
        <item x="135"/>
        <item x="117"/>
        <item x="39"/>
        <item x="68"/>
        <item x="129"/>
        <item x="0"/>
        <item x="100"/>
        <item x="56"/>
        <item x="87"/>
        <item x="40"/>
        <item x="93"/>
        <item x="18"/>
        <item x="134"/>
        <item x="90"/>
        <item x="8"/>
        <item x="123"/>
        <item x="122"/>
        <item x="130"/>
        <item x="78"/>
        <item x="91"/>
        <item x="52"/>
        <item x="140"/>
        <item x="98"/>
        <item x="96"/>
        <item x="128"/>
        <item x="42"/>
        <item x="73"/>
        <item x="76"/>
        <item x="137"/>
        <item x="88"/>
        <item x="43"/>
        <item x="26"/>
        <item x="51"/>
        <item x="14"/>
        <item x="5"/>
        <item x="101"/>
        <item x="138"/>
        <item x="10"/>
        <item x="38"/>
        <item x="59"/>
        <item x="113"/>
        <item x="48"/>
        <item x="108"/>
        <item x="13"/>
        <item x="41"/>
        <item x="95"/>
        <item x="83"/>
        <item x="7"/>
        <item x="55"/>
        <item x="53"/>
        <item x="103"/>
        <item x="21"/>
        <item x="131"/>
        <item x="104"/>
        <item x="67"/>
        <item x="84"/>
        <item x="46"/>
        <item x="75"/>
        <item x="94"/>
        <item x="115"/>
        <item x="33"/>
        <item x="120"/>
        <item x="49"/>
        <item x="125"/>
        <item x="111"/>
        <item x="143"/>
        <item x="24"/>
        <item x="37"/>
        <item x="80"/>
        <item x="27"/>
        <item x="1"/>
        <item x="70"/>
        <item x="63"/>
        <item x="145"/>
        <item x="22"/>
        <item x="79"/>
        <item x="4"/>
        <item x="3"/>
        <item x="118"/>
        <item x="114"/>
        <item x="141"/>
        <item x="54"/>
        <item x="127"/>
        <item x="139"/>
        <item x="25"/>
        <item x="15"/>
        <item x="99"/>
        <item x="31"/>
        <item x="82"/>
        <item x="58"/>
        <item x="57"/>
        <item x="6"/>
        <item x="65"/>
        <item x="121"/>
        <item x="116"/>
        <item x="86"/>
        <item x="85"/>
        <item x="126"/>
        <item x="146"/>
        <item t="default"/>
      </items>
    </pivotField>
    <pivotField dataField="1" showAll="0"/>
    <pivotField showAll="0"/>
    <pivotField showAll="0"/>
    <pivotField axis="axisRow" showAll="0">
      <items count="8">
        <item x="2"/>
        <item x="5"/>
        <item x="0"/>
        <item x="1"/>
        <item x="3"/>
        <item x="4"/>
        <item h="1" x="6"/>
        <item t="default"/>
      </items>
    </pivotField>
    <pivotField showAll="0">
      <items count="148">
        <item x="86"/>
        <item x="85"/>
        <item x="116"/>
        <item x="126"/>
        <item x="121"/>
        <item x="65"/>
        <item x="6"/>
        <item x="57"/>
        <item x="58"/>
        <item x="82"/>
        <item x="31"/>
        <item x="99"/>
        <item x="15"/>
        <item x="25"/>
        <item x="139"/>
        <item x="127"/>
        <item x="54"/>
        <item x="141"/>
        <item x="114"/>
        <item x="118"/>
        <item x="3"/>
        <item x="4"/>
        <item x="79"/>
        <item x="22"/>
        <item x="145"/>
        <item x="63"/>
        <item x="70"/>
        <item x="1"/>
        <item x="27"/>
        <item x="80"/>
        <item x="37"/>
        <item x="24"/>
        <item x="143"/>
        <item x="111"/>
        <item x="125"/>
        <item x="49"/>
        <item x="120"/>
        <item x="33"/>
        <item x="115"/>
        <item x="94"/>
        <item x="75"/>
        <item x="46"/>
        <item x="84"/>
        <item x="67"/>
        <item x="104"/>
        <item x="131"/>
        <item x="21"/>
        <item x="103"/>
        <item x="53"/>
        <item x="55"/>
        <item x="7"/>
        <item x="83"/>
        <item x="95"/>
        <item x="41"/>
        <item x="13"/>
        <item x="108"/>
        <item x="48"/>
        <item x="113"/>
        <item x="59"/>
        <item x="38"/>
        <item x="10"/>
        <item x="138"/>
        <item x="101"/>
        <item x="5"/>
        <item x="14"/>
        <item x="51"/>
        <item x="26"/>
        <item x="43"/>
        <item x="88"/>
        <item x="137"/>
        <item x="76"/>
        <item x="73"/>
        <item x="42"/>
        <item x="128"/>
        <item x="96"/>
        <item x="98"/>
        <item x="140"/>
        <item x="52"/>
        <item x="91"/>
        <item x="78"/>
        <item x="130"/>
        <item x="122"/>
        <item x="123"/>
        <item x="8"/>
        <item x="90"/>
        <item x="134"/>
        <item x="18"/>
        <item x="93"/>
        <item x="40"/>
        <item x="87"/>
        <item x="56"/>
        <item x="100"/>
        <item x="0"/>
        <item x="129"/>
        <item x="68"/>
        <item x="39"/>
        <item x="117"/>
        <item x="135"/>
        <item x="20"/>
        <item x="12"/>
        <item x="17"/>
        <item x="60"/>
        <item x="112"/>
        <item x="62"/>
        <item x="74"/>
        <item x="47"/>
        <item x="106"/>
        <item x="64"/>
        <item x="50"/>
        <item x="19"/>
        <item x="23"/>
        <item x="110"/>
        <item x="142"/>
        <item x="102"/>
        <item x="44"/>
        <item x="11"/>
        <item x="9"/>
        <item x="2"/>
        <item x="16"/>
        <item x="77"/>
        <item x="89"/>
        <item x="133"/>
        <item x="29"/>
        <item x="69"/>
        <item x="136"/>
        <item x="61"/>
        <item x="92"/>
        <item x="71"/>
        <item x="105"/>
        <item x="107"/>
        <item x="28"/>
        <item x="72"/>
        <item x="97"/>
        <item x="119"/>
        <item x="45"/>
        <item x="32"/>
        <item x="81"/>
        <item x="30"/>
        <item x="109"/>
        <item x="66"/>
        <item x="124"/>
        <item x="144"/>
        <item x="132"/>
        <item x="36"/>
        <item x="34"/>
        <item x="35"/>
        <item x="146"/>
        <item t="default"/>
      </items>
    </pivotField>
    <pivotField showAll="0">
      <items count="7">
        <item x="1"/>
        <item x="0"/>
        <item x="3"/>
        <item x="2"/>
        <item x="4"/>
        <item x="5"/>
        <item t="default"/>
      </items>
    </pivotField>
  </pivotFields>
  <rowFields count="1">
    <field x="7"/>
  </rowFields>
  <rowItems count="7">
    <i>
      <x/>
    </i>
    <i>
      <x v="1"/>
    </i>
    <i>
      <x v="2"/>
    </i>
    <i>
      <x v="3"/>
    </i>
    <i>
      <x v="4"/>
    </i>
    <i>
      <x v="5"/>
    </i>
    <i t="grand">
      <x/>
    </i>
  </rowItems>
  <colFields count="1">
    <field x="-2"/>
  </colFields>
  <colItems count="2">
    <i>
      <x/>
    </i>
    <i i="1">
      <x v="1"/>
    </i>
  </colItems>
  <dataFields count="2">
    <dataField name="Total Headcounts" fld="0" subtotal="count" baseField="7" baseItem="2"/>
    <dataField name="Average of Salary" fld="4" subtotal="average" baseField="7" baseItem="2"/>
  </dataFields>
  <formats count="7">
    <format dxfId="16">
      <pivotArea collapsedLevelsAreSubtotals="1" fieldPosition="0">
        <references count="2">
          <reference field="4294967294" count="1" selected="0">
            <x v="1"/>
          </reference>
          <reference field="7" count="1">
            <x v="0"/>
          </reference>
        </references>
      </pivotArea>
    </format>
    <format dxfId="15">
      <pivotArea collapsedLevelsAreSubtotals="1" fieldPosition="0">
        <references count="2">
          <reference field="4294967294" count="1" selected="0">
            <x v="1"/>
          </reference>
          <reference field="7" count="1">
            <x v="1"/>
          </reference>
        </references>
      </pivotArea>
    </format>
    <format dxfId="14">
      <pivotArea collapsedLevelsAreSubtotals="1" fieldPosition="0">
        <references count="2">
          <reference field="4294967294" count="1" selected="0">
            <x v="1"/>
          </reference>
          <reference field="7" count="1">
            <x v="2"/>
          </reference>
        </references>
      </pivotArea>
    </format>
    <format dxfId="13">
      <pivotArea collapsedLevelsAreSubtotals="1" fieldPosition="0">
        <references count="2">
          <reference field="4294967294" count="1" selected="0">
            <x v="1"/>
          </reference>
          <reference field="7" count="1">
            <x v="3"/>
          </reference>
        </references>
      </pivotArea>
    </format>
    <format dxfId="12">
      <pivotArea collapsedLevelsAreSubtotals="1" fieldPosition="0">
        <references count="2">
          <reference field="4294967294" count="1" selected="0">
            <x v="1"/>
          </reference>
          <reference field="7" count="1">
            <x v="4"/>
          </reference>
        </references>
      </pivotArea>
    </format>
    <format dxfId="11">
      <pivotArea collapsedLevelsAreSubtotals="1" fieldPosition="0">
        <references count="2">
          <reference field="4294967294" count="1" selected="0">
            <x v="1"/>
          </reference>
          <reference field="7" count="1">
            <x v="5"/>
          </reference>
        </references>
      </pivotArea>
    </format>
    <format dxfId="10">
      <pivotArea field="7" grandRow="1" outline="0" collapsedLevelsAreSubtotals="1" axis="axisRow" fieldPosition="0">
        <references count="1">
          <reference field="4294967294" count="1" selected="0">
            <x v="1"/>
          </reference>
        </references>
      </pivotArea>
    </format>
  </formats>
  <chartFormats count="4">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8DDE16-5CB3-454B-842D-CEF3A8AA1E82}"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Performance Band">
  <location ref="R3:S9" firstHeaderRow="1" firstDataRow="1" firstDataCol="1"/>
  <pivotFields count="12">
    <pivotField showAll="0"/>
    <pivotField showAll="0"/>
    <pivotField showAll="0"/>
    <pivotField showAll="0"/>
    <pivotField showAll="0"/>
    <pivotField showAll="0"/>
    <pivotField showAll="0"/>
    <pivotField showAll="0"/>
    <pivotField showAll="0"/>
    <pivotField axis="axisRow" showAll="0">
      <items count="7">
        <item x="1"/>
        <item x="0"/>
        <item x="3"/>
        <item x="2"/>
        <item x="4"/>
        <item h="1" x="5"/>
        <item t="default"/>
      </items>
    </pivotField>
    <pivotField showAll="0"/>
    <pivotField dataField="1" showAll="0"/>
  </pivotFields>
  <rowFields count="1">
    <field x="9"/>
  </rowFields>
  <rowItems count="6">
    <i>
      <x/>
    </i>
    <i>
      <x v="1"/>
    </i>
    <i>
      <x v="2"/>
    </i>
    <i>
      <x v="3"/>
    </i>
    <i>
      <x v="4"/>
    </i>
    <i t="grand">
      <x/>
    </i>
  </rowItems>
  <colItems count="1">
    <i/>
  </colItems>
  <dataFields count="1">
    <dataField name="Sum of Bonus Payout" fld="11" baseField="9" baseItem="0" numFmtId="17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96B1D3-4C23-4F38-92F2-F1CE27F003D6}" name="ptBonusPayoutByPerformanceBand_Analysis" cacheId="0" applyNumberFormats="0" applyBorderFormats="0" applyFontFormats="0" applyPatternFormats="0" applyAlignmentFormats="0" applyWidthHeightFormats="1" dataCaption="Values" updatedVersion="7" minRefreshableVersion="3" showCalcMbrs="0" useAutoFormatting="1" itemPrintTitles="1" createdVersion="3" indent="0" compact="0" compactData="0" multipleFieldFilters="0" chartFormat="13">
  <location ref="M12:N18" firstHeaderRow="1" firstDataRow="1" firstDataCol="1"/>
  <pivotFields count="12">
    <pivotField compact="0" outline="0" showAll="0"/>
    <pivotField compact="0" outline="0" showAll="0"/>
    <pivotField compact="0" outline="0" showAll="0"/>
    <pivotField compact="0" numFmtId="14" outline="0" showAll="0"/>
    <pivotField compact="0" numFmtId="166" outline="0" showAll="0"/>
    <pivotField compact="0" outline="0" showAll="0"/>
    <pivotField compact="0" outline="0" showAll="0"/>
    <pivotField compact="0" outline="0" showAll="0"/>
    <pivotField compact="0" numFmtId="1" outline="0" showAll="0"/>
    <pivotField axis="axisRow" compact="0" outline="0" showAll="0">
      <items count="6">
        <item x="1"/>
        <item x="0"/>
        <item x="3"/>
        <item x="2"/>
        <item x="4"/>
        <item t="default"/>
      </items>
    </pivotField>
    <pivotField compact="0" numFmtId="9" outline="0" showAll="0"/>
    <pivotField dataField="1" compact="0" numFmtId="167" outline="0" showAll="0"/>
  </pivotFields>
  <rowFields count="1">
    <field x="9"/>
  </rowFields>
  <rowItems count="6">
    <i>
      <x/>
    </i>
    <i>
      <x v="1"/>
    </i>
    <i>
      <x v="2"/>
    </i>
    <i>
      <x v="3"/>
    </i>
    <i>
      <x v="4"/>
    </i>
    <i t="grand">
      <x/>
    </i>
  </rowItems>
  <colItems count="1">
    <i/>
  </colItems>
  <dataFields count="1">
    <dataField name="Total Bonus Payout" fld="11" baseField="0" baseItem="0" numFmtId="168"/>
  </dataFields>
  <chartFormats count="4">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C5F87E-B3ED-4906-8FA6-4E79C86B9080}"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erformance">
  <location ref="M3:N6" firstHeaderRow="1" firstDataRow="1" firstDataCol="1"/>
  <pivotFields count="10">
    <pivotField showAll="0"/>
    <pivotField showAll="0"/>
    <pivotField showAll="0">
      <items count="8">
        <item x="2"/>
        <item x="5"/>
        <item x="0"/>
        <item x="1"/>
        <item x="3"/>
        <item x="4"/>
        <item x="6"/>
        <item t="default"/>
      </items>
    </pivotField>
    <pivotField showAll="0"/>
    <pivotField showAll="0"/>
    <pivotField dataField="1" showAll="0"/>
    <pivotField axis="axisRow" showAll="0">
      <items count="5">
        <item x="0"/>
        <item x="1"/>
        <item h="1" x="2"/>
        <item h="1" x="3"/>
        <item t="default"/>
      </items>
    </pivotField>
    <pivotField showAll="0"/>
    <pivotField showAll="0">
      <items count="148">
        <item x="86"/>
        <item x="85"/>
        <item x="116"/>
        <item x="126"/>
        <item x="121"/>
        <item x="65"/>
        <item x="6"/>
        <item x="57"/>
        <item x="58"/>
        <item x="82"/>
        <item x="31"/>
        <item x="99"/>
        <item x="15"/>
        <item x="25"/>
        <item x="139"/>
        <item x="127"/>
        <item x="54"/>
        <item x="141"/>
        <item x="114"/>
        <item x="118"/>
        <item x="3"/>
        <item x="4"/>
        <item x="79"/>
        <item x="22"/>
        <item x="145"/>
        <item x="63"/>
        <item x="70"/>
        <item x="1"/>
        <item x="27"/>
        <item x="80"/>
        <item x="37"/>
        <item x="24"/>
        <item x="143"/>
        <item x="111"/>
        <item x="125"/>
        <item x="49"/>
        <item x="120"/>
        <item x="33"/>
        <item x="115"/>
        <item x="94"/>
        <item x="75"/>
        <item x="46"/>
        <item x="84"/>
        <item x="67"/>
        <item x="104"/>
        <item x="131"/>
        <item x="21"/>
        <item x="103"/>
        <item x="53"/>
        <item x="55"/>
        <item x="7"/>
        <item x="83"/>
        <item x="95"/>
        <item x="41"/>
        <item x="13"/>
        <item x="108"/>
        <item x="48"/>
        <item x="113"/>
        <item x="59"/>
        <item x="38"/>
        <item x="10"/>
        <item x="138"/>
        <item x="101"/>
        <item x="5"/>
        <item x="14"/>
        <item x="51"/>
        <item x="26"/>
        <item x="43"/>
        <item x="88"/>
        <item x="137"/>
        <item x="76"/>
        <item x="73"/>
        <item x="42"/>
        <item x="128"/>
        <item x="96"/>
        <item x="98"/>
        <item x="140"/>
        <item x="52"/>
        <item x="91"/>
        <item x="78"/>
        <item x="130"/>
        <item x="122"/>
        <item x="123"/>
        <item x="8"/>
        <item x="90"/>
        <item x="134"/>
        <item x="18"/>
        <item x="93"/>
        <item x="40"/>
        <item x="87"/>
        <item x="56"/>
        <item x="100"/>
        <item x="0"/>
        <item x="129"/>
        <item x="68"/>
        <item x="39"/>
        <item x="117"/>
        <item x="135"/>
        <item x="20"/>
        <item x="12"/>
        <item x="17"/>
        <item x="60"/>
        <item x="112"/>
        <item x="62"/>
        <item x="74"/>
        <item x="47"/>
        <item x="106"/>
        <item x="64"/>
        <item x="50"/>
        <item x="19"/>
        <item x="23"/>
        <item x="110"/>
        <item x="142"/>
        <item x="102"/>
        <item x="44"/>
        <item x="11"/>
        <item x="9"/>
        <item x="2"/>
        <item x="16"/>
        <item x="77"/>
        <item x="89"/>
        <item x="133"/>
        <item x="29"/>
        <item x="69"/>
        <item x="136"/>
        <item x="61"/>
        <item x="92"/>
        <item x="71"/>
        <item x="105"/>
        <item x="107"/>
        <item x="28"/>
        <item x="72"/>
        <item x="97"/>
        <item x="119"/>
        <item x="45"/>
        <item x="32"/>
        <item x="81"/>
        <item x="30"/>
        <item x="109"/>
        <item x="66"/>
        <item x="124"/>
        <item x="144"/>
        <item x="132"/>
        <item x="36"/>
        <item x="34"/>
        <item x="35"/>
        <item x="146"/>
        <item t="default"/>
      </items>
    </pivotField>
    <pivotField showAll="0">
      <items count="7">
        <item x="1"/>
        <item x="0"/>
        <item x="3"/>
        <item x="2"/>
        <item x="4"/>
        <item x="5"/>
        <item t="default"/>
      </items>
    </pivotField>
  </pivotFields>
  <rowFields count="1">
    <field x="6"/>
  </rowFields>
  <rowItems count="3">
    <i>
      <x/>
    </i>
    <i>
      <x v="1"/>
    </i>
    <i t="grand">
      <x/>
    </i>
  </rowItems>
  <colItems count="1">
    <i/>
  </colItems>
  <dataFields count="1">
    <dataField name="Average of Perf_Score" fld="5" subtotal="average" baseField="6" baseItem="0"/>
  </dataFields>
  <formats count="2">
    <format dxfId="18">
      <pivotArea collapsedLevelsAreSubtotals="1" fieldPosition="0">
        <references count="1">
          <reference field="6" count="1">
            <x v="0"/>
          </reference>
        </references>
      </pivotArea>
    </format>
    <format dxfId="17">
      <pivotArea collapsedLevelsAreSubtotals="1" fieldPosition="0">
        <references count="1">
          <reference field="6"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6" count="1" selected="0">
            <x v="0"/>
          </reference>
        </references>
      </pivotArea>
    </chartFormat>
    <chartFormat chart="1" format="5">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BE206-A03E-457D-8AF1-0C09F1C4C8AA}"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Department">
  <location ref="F3:I11" firstHeaderRow="1" firstDataRow="2" firstDataCol="1"/>
  <pivotFields count="10">
    <pivotField dataField="1" showAll="0"/>
    <pivotField showAll="0"/>
    <pivotField showAll="0">
      <items count="8">
        <item x="2"/>
        <item x="5"/>
        <item x="0"/>
        <item x="1"/>
        <item x="3"/>
        <item x="4"/>
        <item x="6"/>
        <item t="default"/>
      </items>
    </pivotField>
    <pivotField showAll="0"/>
    <pivotField showAll="0"/>
    <pivotField showAll="0"/>
    <pivotField axis="axisCol" showAll="0">
      <items count="5">
        <item x="0"/>
        <item x="1"/>
        <item h="1" x="2"/>
        <item h="1" x="3"/>
        <item t="default"/>
      </items>
    </pivotField>
    <pivotField axis="axisRow" showAll="0">
      <items count="8">
        <item x="2"/>
        <item x="5"/>
        <item x="0"/>
        <item x="1"/>
        <item x="3"/>
        <item x="4"/>
        <item x="6"/>
        <item t="default"/>
      </items>
    </pivotField>
    <pivotField showAll="0">
      <items count="148">
        <item x="86"/>
        <item x="85"/>
        <item x="116"/>
        <item x="126"/>
        <item x="121"/>
        <item x="65"/>
        <item x="6"/>
        <item x="57"/>
        <item x="58"/>
        <item x="82"/>
        <item x="31"/>
        <item x="99"/>
        <item x="15"/>
        <item x="25"/>
        <item x="139"/>
        <item x="127"/>
        <item x="54"/>
        <item x="141"/>
        <item x="114"/>
        <item x="118"/>
        <item x="3"/>
        <item x="4"/>
        <item x="79"/>
        <item x="22"/>
        <item x="145"/>
        <item x="63"/>
        <item x="70"/>
        <item x="1"/>
        <item x="27"/>
        <item x="80"/>
        <item x="37"/>
        <item x="24"/>
        <item x="143"/>
        <item x="111"/>
        <item x="125"/>
        <item x="49"/>
        <item x="120"/>
        <item x="33"/>
        <item x="115"/>
        <item x="94"/>
        <item x="75"/>
        <item x="46"/>
        <item x="84"/>
        <item x="67"/>
        <item x="104"/>
        <item x="131"/>
        <item x="21"/>
        <item x="103"/>
        <item x="53"/>
        <item x="55"/>
        <item x="7"/>
        <item x="83"/>
        <item x="95"/>
        <item x="41"/>
        <item x="13"/>
        <item x="108"/>
        <item x="48"/>
        <item x="113"/>
        <item x="59"/>
        <item x="38"/>
        <item x="10"/>
        <item x="138"/>
        <item x="101"/>
        <item x="5"/>
        <item x="14"/>
        <item x="51"/>
        <item x="26"/>
        <item x="43"/>
        <item x="88"/>
        <item x="137"/>
        <item x="76"/>
        <item x="73"/>
        <item x="42"/>
        <item x="128"/>
        <item x="96"/>
        <item x="98"/>
        <item x="140"/>
        <item x="52"/>
        <item x="91"/>
        <item x="78"/>
        <item x="130"/>
        <item x="122"/>
        <item x="123"/>
        <item x="8"/>
        <item x="90"/>
        <item x="134"/>
        <item x="18"/>
        <item x="93"/>
        <item x="40"/>
        <item x="87"/>
        <item x="56"/>
        <item x="100"/>
        <item x="0"/>
        <item x="129"/>
        <item x="68"/>
        <item x="39"/>
        <item x="117"/>
        <item x="135"/>
        <item x="20"/>
        <item x="12"/>
        <item x="17"/>
        <item x="60"/>
        <item x="112"/>
        <item x="62"/>
        <item x="74"/>
        <item x="47"/>
        <item x="106"/>
        <item x="64"/>
        <item x="50"/>
        <item x="19"/>
        <item x="23"/>
        <item x="110"/>
        <item x="142"/>
        <item x="102"/>
        <item x="44"/>
        <item x="11"/>
        <item x="9"/>
        <item x="2"/>
        <item x="16"/>
        <item x="77"/>
        <item x="89"/>
        <item x="133"/>
        <item x="29"/>
        <item x="69"/>
        <item x="136"/>
        <item x="61"/>
        <item x="92"/>
        <item x="71"/>
        <item x="105"/>
        <item x="107"/>
        <item x="28"/>
        <item x="72"/>
        <item x="97"/>
        <item x="119"/>
        <item x="45"/>
        <item x="32"/>
        <item x="81"/>
        <item x="30"/>
        <item x="109"/>
        <item x="66"/>
        <item x="124"/>
        <item x="144"/>
        <item x="132"/>
        <item x="36"/>
        <item x="34"/>
        <item x="35"/>
        <item x="146"/>
        <item t="default"/>
      </items>
    </pivotField>
    <pivotField showAll="0">
      <items count="7">
        <item x="1"/>
        <item x="0"/>
        <item x="3"/>
        <item x="2"/>
        <item x="4"/>
        <item x="5"/>
        <item t="default"/>
      </items>
    </pivotField>
  </pivotFields>
  <rowFields count="1">
    <field x="7"/>
  </rowFields>
  <rowItems count="7">
    <i>
      <x/>
    </i>
    <i>
      <x v="1"/>
    </i>
    <i>
      <x v="2"/>
    </i>
    <i>
      <x v="3"/>
    </i>
    <i>
      <x v="4"/>
    </i>
    <i>
      <x v="5"/>
    </i>
    <i t="grand">
      <x/>
    </i>
  </rowItems>
  <colFields count="1">
    <field x="6"/>
  </colFields>
  <colItems count="3">
    <i>
      <x/>
    </i>
    <i>
      <x v="1"/>
    </i>
    <i t="grand">
      <x/>
    </i>
  </colItems>
  <dataFields count="1">
    <dataField name="Attrition %" fld="0" subtotal="count" showDataAs="percentOfRow" baseField="7" baseItem="0" numFmtId="1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2">
          <reference field="4294967294" count="1" selected="0">
            <x v="0"/>
          </reference>
          <reference field="6" count="1" selected="0">
            <x v="0"/>
          </reference>
        </references>
      </pivotArea>
    </chartFormat>
    <chartFormat chart="8" format="5" series="1">
      <pivotArea type="data" outline="0" fieldPosition="0">
        <references count="2">
          <reference field="4294967294" count="1" selected="0">
            <x v="0"/>
          </reference>
          <reference field="6" count="1" selected="0">
            <x v="1"/>
          </reference>
        </references>
      </pivotArea>
    </chartFormat>
    <chartFormat chart="8"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C0316-67D6-49C3-B52E-12283A6AC586}" name="ptEmployeesByDepartment" cacheId="2" applyNumberFormats="0" applyBorderFormats="0" applyFontFormats="0" applyPatternFormats="0" applyAlignmentFormats="0" applyWidthHeightFormats="1" dataCaption="Values" updatedVersion="7" minRefreshableVersion="3" showCalcMbrs="0" useAutoFormatting="1" itemPrintTitles="1" createdVersion="3" indent="0" compact="0" compactData="0" multipleFieldFilters="0" chartFormat="1">
  <location ref="A12:B14" firstHeaderRow="1" firstDataRow="1" firstDataCol="1"/>
  <pivotFields count="12">
    <pivotField dataField="1" compact="0" outline="0" showAll="0"/>
    <pivotField compact="0" outline="0" showAll="0"/>
    <pivotField compact="0" outline="0" showAll="0"/>
    <pivotField compact="0" numFmtId="14" outline="0" showAll="0"/>
    <pivotField compact="0" numFmtId="166" outline="0" showAll="0"/>
    <pivotField compact="0" outline="0" showAll="0"/>
    <pivotField compact="0" outline="0" showAll="0">
      <items count="4">
        <item x="0"/>
        <item h="1" x="1"/>
        <item h="1" x="2"/>
        <item t="default"/>
      </items>
    </pivotField>
    <pivotField axis="axisRow" compact="0" outline="0" showAll="0" sortType="descending">
      <items count="7">
        <item h="1" x="2"/>
        <item x="5"/>
        <item h="1" x="0"/>
        <item h="1" x="1"/>
        <item h="1" x="3"/>
        <item h="1" x="4"/>
        <item t="default"/>
      </items>
      <autoSortScope>
        <pivotArea dataOnly="0" outline="0" fieldPosition="0">
          <references count="1">
            <reference field="4294967294" count="1" selected="0">
              <x v="0"/>
            </reference>
          </references>
        </pivotArea>
      </autoSortScope>
    </pivotField>
    <pivotField compact="0" numFmtId="1" outline="0" showAll="0"/>
    <pivotField compact="0" outline="0" showAll="0">
      <items count="6">
        <item h="1" x="1"/>
        <item x="0"/>
        <item h="1" x="3"/>
        <item h="1" x="2"/>
        <item h="1" x="4"/>
        <item t="default"/>
      </items>
    </pivotField>
    <pivotField compact="0" numFmtId="9" outline="0" showAll="0"/>
    <pivotField compact="0" numFmtId="167" outline="0" showAll="0"/>
  </pivotFields>
  <rowFields count="1">
    <field x="7"/>
  </rowFields>
  <rowItems count="2">
    <i>
      <x v="1"/>
    </i>
    <i t="grand">
      <x/>
    </i>
  </rowItems>
  <colItems count="1">
    <i/>
  </colItems>
  <dataFields count="1">
    <dataField name="Employees" fld="0" subtotal="count"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E9FA9B-CAE6-4A9E-B2BE-38777AF89E78}" name="ptPerformanceBand" cacheId="2" applyNumberFormats="0" applyBorderFormats="0" applyFontFormats="0" applyPatternFormats="0" applyAlignmentFormats="0" applyWidthHeightFormats="1" dataCaption="Values" updatedVersion="7" minRefreshableVersion="3" showCalcMbrs="0" useAutoFormatting="1" itemPrintTitles="1" createdVersion="3" indent="0" compact="0" compactData="0" multipleFieldFilters="0" chartFormat="1">
  <location ref="L12:M14" firstHeaderRow="1" firstDataRow="1" firstDataCol="1"/>
  <pivotFields count="12">
    <pivotField dataField="1" compact="0" outline="0" showAll="0"/>
    <pivotField compact="0" outline="0" showAll="0"/>
    <pivotField compact="0" outline="0" showAll="0"/>
    <pivotField compact="0" numFmtId="14" outline="0" showAll="0"/>
    <pivotField compact="0" numFmtId="166" outline="0" showAll="0"/>
    <pivotField compact="0" outline="0" showAll="0"/>
    <pivotField compact="0" outline="0" showAll="0">
      <items count="4">
        <item x="0"/>
        <item h="1" x="1"/>
        <item h="1" x="2"/>
        <item t="default"/>
      </items>
    </pivotField>
    <pivotField compact="0" outline="0" showAll="0">
      <items count="7">
        <item h="1" x="2"/>
        <item x="5"/>
        <item h="1" x="0"/>
        <item h="1" x="1"/>
        <item h="1" x="3"/>
        <item h="1" x="4"/>
        <item t="default"/>
      </items>
    </pivotField>
    <pivotField compact="0" numFmtId="1" outline="0" showAll="0"/>
    <pivotField axis="axisRow" compact="0" outline="0" showAll="0">
      <items count="6">
        <item h="1" x="1"/>
        <item x="0"/>
        <item h="1" x="3"/>
        <item h="1" x="2"/>
        <item h="1" x="4"/>
        <item t="default"/>
      </items>
    </pivotField>
    <pivotField compact="0" numFmtId="9" outline="0" showAll="0"/>
    <pivotField compact="0" numFmtId="167" outline="0" showAll="0"/>
  </pivotFields>
  <rowFields count="1">
    <field x="9"/>
  </rowFields>
  <rowItems count="2">
    <i>
      <x v="1"/>
    </i>
    <i t="grand">
      <x/>
    </i>
  </rowItems>
  <colItems count="1">
    <i/>
  </colItems>
  <dataFields count="1">
    <dataField name="Employees" fld="0" subtotal="count"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113865-BE32-4BC4-B7AE-68108B786A80}" name="ptBonusPayoutByPerformanceBand" cacheId="1" applyNumberFormats="0" applyBorderFormats="0" applyFontFormats="0" applyPatternFormats="0" applyAlignmentFormats="0" applyWidthHeightFormats="1" dataCaption="Values" updatedVersion="7" minRefreshableVersion="3" showCalcMbrs="0" useAutoFormatting="1" itemPrintTitles="1" createdVersion="3" indent="0" compact="0" compactData="0" multipleFieldFilters="0" chartFormat="1">
  <location ref="S12:T18" firstHeaderRow="1" firstDataRow="1" firstDataCol="1"/>
  <pivotFields count="12">
    <pivotField compact="0" outline="0" showAll="0"/>
    <pivotField compact="0" outline="0" showAll="0"/>
    <pivotField compact="0" outline="0" showAll="0"/>
    <pivotField compact="0" numFmtId="14" outline="0" showAll="0"/>
    <pivotField compact="0" numFmtId="166" outline="0" showAll="0"/>
    <pivotField compact="0" outline="0" showAll="0"/>
    <pivotField compact="0" outline="0" showAll="0"/>
    <pivotField compact="0" outline="0" showAll="0"/>
    <pivotField compact="0" numFmtId="1" outline="0" showAll="0"/>
    <pivotField axis="axisRow" compact="0" outline="0" showAll="0">
      <items count="6">
        <item x="1"/>
        <item x="0"/>
        <item x="3"/>
        <item x="2"/>
        <item x="4"/>
        <item t="default"/>
      </items>
    </pivotField>
    <pivotField compact="0" numFmtId="9" outline="0" showAll="0"/>
    <pivotField dataField="1" compact="0" numFmtId="167" outline="0" showAll="0"/>
  </pivotFields>
  <rowFields count="1">
    <field x="9"/>
  </rowFields>
  <rowItems count="6">
    <i>
      <x/>
    </i>
    <i>
      <x v="1"/>
    </i>
    <i>
      <x v="2"/>
    </i>
    <i>
      <x v="3"/>
    </i>
    <i>
      <x v="4"/>
    </i>
    <i t="grand">
      <x/>
    </i>
  </rowItems>
  <colItems count="1">
    <i/>
  </colItems>
  <dataFields count="1">
    <dataField name="Total Bonus Payout" fld="11"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D094E0-444D-4E03-9F0E-55F4F81C4853}" name="ptTotalEmployees" cacheId="2" applyNumberFormats="0" applyBorderFormats="0" applyFontFormats="0" applyPatternFormats="0" applyAlignmentFormats="0" applyWidthHeightFormats="1" dataCaption="Values" updatedVersion="7" minRefreshableVersion="3" showCalcMbrs="0" useAutoFormatting="1" itemPrintTitles="1" createdVersion="3" indent="0" outline="1" outlineData="1" multipleFieldFilters="0">
  <location ref="A3:A4" firstHeaderRow="1" firstDataRow="1" firstDataCol="0"/>
  <pivotFields count="12">
    <pivotField dataField="1" showAll="0"/>
    <pivotField showAll="0"/>
    <pivotField showAll="0"/>
    <pivotField numFmtId="14" showAll="0"/>
    <pivotField numFmtId="166" showAll="0"/>
    <pivotField showAll="0"/>
    <pivotField showAll="0">
      <items count="4">
        <item x="0"/>
        <item h="1" x="1"/>
        <item h="1" x="2"/>
        <item t="default"/>
      </items>
    </pivotField>
    <pivotField showAll="0">
      <items count="7">
        <item h="1" x="2"/>
        <item x="5"/>
        <item h="1" x="0"/>
        <item h="1" x="1"/>
        <item h="1" x="3"/>
        <item h="1" x="4"/>
        <item t="default"/>
      </items>
    </pivotField>
    <pivotField numFmtId="1" showAll="0"/>
    <pivotField showAll="0">
      <items count="6">
        <item h="1" x="1"/>
        <item x="0"/>
        <item h="1" x="3"/>
        <item h="1" x="2"/>
        <item h="1" x="4"/>
        <item t="default"/>
      </items>
    </pivotField>
    <pivotField numFmtId="9" showAll="0"/>
    <pivotField numFmtId="167" showAll="0"/>
  </pivotFields>
  <rowItems count="1">
    <i/>
  </rowItems>
  <colItems count="1">
    <i/>
  </colItems>
  <dataFields count="1">
    <dataField name="Total Employees" fld="0" subtotal="count"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9D6D0C-B036-47EC-AB92-5F336564FCC2}" name="ptStatusKPI" cacheId="2" applyNumberFormats="0" applyBorderFormats="0" applyFontFormats="0" applyPatternFormats="0" applyAlignmentFormats="0" applyWidthHeightFormats="1" dataCaption="Values" updatedVersion="7" minRefreshableVersion="3" showCalcMbrs="0" useAutoFormatting="1" itemPrintTitles="1" createdVersion="3" indent="0" outline="1" outlineData="1" multipleFieldFilters="0">
  <location ref="G3:H5" firstHeaderRow="1" firstDataRow="1" firstDataCol="1"/>
  <pivotFields count="12">
    <pivotField dataField="1" showAll="0"/>
    <pivotField showAll="0"/>
    <pivotField showAll="0"/>
    <pivotField numFmtId="14" showAll="0"/>
    <pivotField numFmtId="166" showAll="0"/>
    <pivotField showAll="0"/>
    <pivotField axis="axisRow" showAll="0">
      <items count="4">
        <item x="0"/>
        <item h="1" x="1"/>
        <item h="1" x="2"/>
        <item t="default"/>
      </items>
    </pivotField>
    <pivotField showAll="0">
      <items count="7">
        <item h="1" x="2"/>
        <item x="5"/>
        <item h="1" x="0"/>
        <item h="1" x="1"/>
        <item h="1" x="3"/>
        <item h="1" x="4"/>
        <item t="default"/>
      </items>
    </pivotField>
    <pivotField numFmtId="1" showAll="0"/>
    <pivotField showAll="0">
      <items count="6">
        <item h="1" x="1"/>
        <item x="0"/>
        <item h="1" x="3"/>
        <item h="1" x="2"/>
        <item h="1" x="4"/>
        <item t="default"/>
      </items>
    </pivotField>
    <pivotField numFmtId="9" showAll="0"/>
    <pivotField numFmtId="167" showAll="0"/>
  </pivotFields>
  <rowFields count="1">
    <field x="6"/>
  </rowFields>
  <rowItems count="2">
    <i>
      <x/>
    </i>
    <i t="grand">
      <x/>
    </i>
  </rowItems>
  <colItems count="1">
    <i/>
  </colItems>
  <dataFields count="1">
    <dataField name="Count of Emp ID" fld="0" subtotal="count"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C818D2-1A67-497B-883D-569E5BC42A6F}" name="ptAttritionByDepartment" cacheId="2" applyNumberFormats="0" applyBorderFormats="0" applyFontFormats="0" applyPatternFormats="0" applyAlignmentFormats="0" applyWidthHeightFormats="1" dataCaption="Values" updatedVersion="7" minRefreshableVersion="3" showCalcMbrs="0" useAutoFormatting="1" itemPrintTitles="1" createdVersion="3" indent="0" compact="0" compactData="0" multipleFieldFilters="0" chartFormat="1">
  <location ref="G12:I15" firstHeaderRow="1" firstDataRow="2" firstDataCol="1"/>
  <pivotFields count="12">
    <pivotField dataField="1" compact="0" outline="0" showAll="0"/>
    <pivotField compact="0" outline="0" showAll="0"/>
    <pivotField compact="0" outline="0" showAll="0"/>
    <pivotField compact="0" numFmtId="14" outline="0" showAll="0"/>
    <pivotField compact="0" numFmtId="166" outline="0" showAll="0"/>
    <pivotField compact="0" outline="0" showAll="0"/>
    <pivotField axis="axisCol" compact="0" outline="0" showAll="0">
      <items count="4">
        <item x="0"/>
        <item h="1" x="1"/>
        <item h="1" x="2"/>
        <item t="default"/>
      </items>
    </pivotField>
    <pivotField axis="axisRow" compact="0" outline="0" showAll="0">
      <items count="7">
        <item h="1" x="2"/>
        <item x="5"/>
        <item h="1" x="0"/>
        <item h="1" x="1"/>
        <item h="1" x="3"/>
        <item h="1" x="4"/>
        <item t="default"/>
      </items>
    </pivotField>
    <pivotField compact="0" numFmtId="1" outline="0" showAll="0"/>
    <pivotField compact="0" outline="0" showAll="0">
      <items count="6">
        <item h="1" x="1"/>
        <item x="0"/>
        <item h="1" x="3"/>
        <item h="1" x="2"/>
        <item h="1" x="4"/>
        <item t="default"/>
      </items>
    </pivotField>
    <pivotField compact="0" numFmtId="9" outline="0" showAll="0"/>
    <pivotField compact="0" numFmtId="167" outline="0" showAll="0"/>
  </pivotFields>
  <rowFields count="1">
    <field x="7"/>
  </rowFields>
  <rowItems count="2">
    <i>
      <x v="1"/>
    </i>
    <i t="grand">
      <x/>
    </i>
  </rowItems>
  <colFields count="1">
    <field x="6"/>
  </colFields>
  <colItems count="2">
    <i>
      <x/>
    </i>
    <i t="grand">
      <x/>
    </i>
  </colItems>
  <dataFields count="1">
    <dataField name="Employees" fld="0" subtotal="count"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1F0D38-0335-48F0-8FF3-134CE3B4106A}" name="ptAverageSalary" cacheId="2" applyNumberFormats="0" applyBorderFormats="0" applyFontFormats="0" applyPatternFormats="0" applyAlignmentFormats="0" applyWidthHeightFormats="1" dataCaption="Values" updatedVersion="7" minRefreshableVersion="3" showCalcMbrs="0" useAutoFormatting="1" itemPrintTitles="1" createdVersion="3" indent="0" outline="1" outlineData="1" multipleFieldFilters="0">
  <location ref="D3:D4" firstHeaderRow="1" firstDataRow="1" firstDataCol="0"/>
  <pivotFields count="12">
    <pivotField showAll="0"/>
    <pivotField showAll="0"/>
    <pivotField showAll="0"/>
    <pivotField numFmtId="14" showAll="0"/>
    <pivotField dataField="1" numFmtId="166" showAll="0"/>
    <pivotField showAll="0"/>
    <pivotField showAll="0">
      <items count="4">
        <item x="0"/>
        <item h="1" x="1"/>
        <item h="1" x="2"/>
        <item t="default"/>
      </items>
    </pivotField>
    <pivotField showAll="0">
      <items count="7">
        <item h="1" x="2"/>
        <item x="5"/>
        <item h="1" x="0"/>
        <item h="1" x="1"/>
        <item h="1" x="3"/>
        <item h="1" x="4"/>
        <item t="default"/>
      </items>
    </pivotField>
    <pivotField numFmtId="1" showAll="0"/>
    <pivotField showAll="0">
      <items count="6">
        <item h="1" x="1"/>
        <item x="0"/>
        <item h="1" x="3"/>
        <item h="1" x="2"/>
        <item h="1" x="4"/>
        <item t="default"/>
      </items>
    </pivotField>
    <pivotField numFmtId="9" showAll="0"/>
    <pivotField numFmtId="167" showAll="0"/>
  </pivotFields>
  <rowItems count="1">
    <i/>
  </rowItems>
  <colItems count="1">
    <i/>
  </colItems>
  <dataFields count="1">
    <dataField name="Average Salary" fld="4" subtotal="average" baseField="0" baseItem="0" numFmtId="168"/>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428F91-7DD8-487C-AF79-5FF206B8B8CA}" name="ptYearsServiceByDepartment" cacheId="2" applyNumberFormats="0" applyBorderFormats="0" applyFontFormats="0" applyPatternFormats="0" applyAlignmentFormats="0" applyWidthHeightFormats="1" dataCaption="Values" updatedVersion="7" minRefreshableVersion="3" showCalcMbrs="0" useAutoFormatting="1" itemPrintTitles="1" createdVersion="3" indent="0" compact="0" compactData="0" multipleFieldFilters="0" chartFormat="1">
  <location ref="O12:P14" firstHeaderRow="1" firstDataRow="1" firstDataCol="1"/>
  <pivotFields count="12">
    <pivotField compact="0" outline="0" showAll="0"/>
    <pivotField compact="0" outline="0" showAll="0"/>
    <pivotField compact="0" outline="0" showAll="0"/>
    <pivotField compact="0" numFmtId="14" outline="0" showAll="0"/>
    <pivotField compact="0" numFmtId="166" outline="0" showAll="0"/>
    <pivotField compact="0" outline="0" showAll="0"/>
    <pivotField compact="0" outline="0" showAll="0">
      <items count="4">
        <item x="0"/>
        <item h="1" x="1"/>
        <item h="1" x="2"/>
        <item t="default"/>
      </items>
    </pivotField>
    <pivotField axis="axisRow" compact="0" outline="0" showAll="0">
      <items count="7">
        <item h="1" x="2"/>
        <item x="5"/>
        <item h="1" x="0"/>
        <item h="1" x="1"/>
        <item h="1" x="3"/>
        <item h="1" x="4"/>
        <item t="default"/>
      </items>
    </pivotField>
    <pivotField dataField="1" compact="0" numFmtId="1" outline="0" showAll="0"/>
    <pivotField compact="0" outline="0" showAll="0">
      <items count="6">
        <item h="1" x="1"/>
        <item x="0"/>
        <item h="1" x="3"/>
        <item h="1" x="2"/>
        <item h="1" x="4"/>
        <item t="default"/>
      </items>
    </pivotField>
    <pivotField compact="0" numFmtId="9" outline="0" showAll="0"/>
    <pivotField compact="0" numFmtId="167" outline="0" showAll="0"/>
  </pivotFields>
  <rowFields count="1">
    <field x="7"/>
  </rowFields>
  <rowItems count="2">
    <i>
      <x v="1"/>
    </i>
    <i t="grand">
      <x/>
    </i>
  </rowItems>
  <colItems count="1">
    <i/>
  </colItems>
  <dataFields count="1">
    <dataField name="Avg Years Service" fld="8" subtotal="average" baseField="0" baseItem="0" numFmtId="169"/>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1F6B06-EAC2-460E-88CD-A4704CFF5375}" name="ptSalaryByDepartment" cacheId="2" applyNumberFormats="0" applyBorderFormats="0" applyFontFormats="0" applyPatternFormats="0" applyAlignmentFormats="0" applyWidthHeightFormats="1" dataCaption="Values" updatedVersion="7" minRefreshableVersion="3" showCalcMbrs="0" useAutoFormatting="1" itemPrintTitles="1" createdVersion="3" indent="0" compact="0" compactData="0" multipleFieldFilters="0" chartFormat="1">
  <location ref="D12:E14" firstHeaderRow="1" firstDataRow="1" firstDataCol="1"/>
  <pivotFields count="12">
    <pivotField compact="0" outline="0" showAll="0"/>
    <pivotField compact="0" outline="0" showAll="0"/>
    <pivotField compact="0" outline="0" showAll="0"/>
    <pivotField compact="0" numFmtId="14" outline="0" showAll="0"/>
    <pivotField dataField="1" compact="0" numFmtId="166" outline="0" showAll="0"/>
    <pivotField compact="0" outline="0" showAll="0"/>
    <pivotField compact="0" outline="0" showAll="0">
      <items count="4">
        <item x="0"/>
        <item h="1" x="1"/>
        <item h="1" x="2"/>
        <item t="default"/>
      </items>
    </pivotField>
    <pivotField axis="axisRow" compact="0" outline="0" showAll="0">
      <items count="7">
        <item h="1" x="2"/>
        <item x="5"/>
        <item h="1" x="0"/>
        <item h="1" x="1"/>
        <item h="1" x="3"/>
        <item h="1" x="4"/>
        <item t="default"/>
      </items>
    </pivotField>
    <pivotField compact="0" numFmtId="1" outline="0" showAll="0"/>
    <pivotField compact="0" outline="0" showAll="0">
      <items count="6">
        <item h="1" x="1"/>
        <item x="0"/>
        <item h="1" x="3"/>
        <item h="1" x="2"/>
        <item h="1" x="4"/>
        <item t="default"/>
      </items>
    </pivotField>
    <pivotField compact="0" numFmtId="9" outline="0" showAll="0"/>
    <pivotField compact="0" numFmtId="167" outline="0" showAll="0"/>
  </pivotFields>
  <rowFields count="1">
    <field x="7"/>
  </rowFields>
  <rowItems count="2">
    <i>
      <x v="1"/>
    </i>
    <i t="grand">
      <x/>
    </i>
  </rowItems>
  <colItems count="1">
    <i/>
  </colItems>
  <dataFields count="1">
    <dataField name="Avg Salary" fld="4" subtotal="average" baseField="0" baseItem="0" numFmtId="168"/>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Code" xr10:uid="{9F8C4E02-3BC3-49AA-B784-3464254F2368}" sourceName="Dept Code">
  <pivotTables>
    <pivotTable tabId="7" name="PivotTable2"/>
    <pivotTable tabId="7" name="PivotTable3"/>
    <pivotTable tabId="7" name="PivotTable4"/>
  </pivotTables>
  <data>
    <tabular pivotCacheId="381779277">
      <items count="7">
        <i x="2" s="1"/>
        <i x="5" s="1"/>
        <i x="0" s="1"/>
        <i x="1" s="1"/>
        <i x="3" s="1"/>
        <i x="4"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Service" xr10:uid="{B6EAED2D-9509-41D9-B11E-3E6D416AB418}" sourceName="Years Of Service">
  <pivotTables>
    <pivotTable tabId="7" name="PivotTable2"/>
    <pivotTable tabId="7" name="PivotTable3"/>
    <pivotTable tabId="7" name="PivotTable4"/>
  </pivotTables>
  <data>
    <tabular pivotCacheId="381779277">
      <items count="147">
        <i x="86" s="1"/>
        <i x="85" s="1"/>
        <i x="116" s="1"/>
        <i x="126" s="1"/>
        <i x="121" s="1"/>
        <i x="65" s="1"/>
        <i x="6" s="1"/>
        <i x="57" s="1"/>
        <i x="58" s="1"/>
        <i x="82" s="1"/>
        <i x="31" s="1"/>
        <i x="99" s="1"/>
        <i x="15" s="1"/>
        <i x="25" s="1"/>
        <i x="139" s="1"/>
        <i x="127" s="1"/>
        <i x="54" s="1"/>
        <i x="141" s="1"/>
        <i x="114" s="1"/>
        <i x="118" s="1"/>
        <i x="3" s="1"/>
        <i x="4" s="1"/>
        <i x="79" s="1"/>
        <i x="22" s="1"/>
        <i x="145" s="1"/>
        <i x="63" s="1"/>
        <i x="70" s="1"/>
        <i x="1" s="1"/>
        <i x="27" s="1"/>
        <i x="80" s="1"/>
        <i x="37" s="1"/>
        <i x="24" s="1"/>
        <i x="143" s="1"/>
        <i x="111" s="1"/>
        <i x="125" s="1"/>
        <i x="49" s="1"/>
        <i x="120" s="1"/>
        <i x="33" s="1"/>
        <i x="115" s="1"/>
        <i x="94" s="1"/>
        <i x="75" s="1"/>
        <i x="46" s="1"/>
        <i x="84" s="1"/>
        <i x="67" s="1"/>
        <i x="104" s="1"/>
        <i x="131" s="1"/>
        <i x="21" s="1"/>
        <i x="103" s="1"/>
        <i x="53" s="1"/>
        <i x="55" s="1"/>
        <i x="7" s="1"/>
        <i x="83" s="1"/>
        <i x="95" s="1"/>
        <i x="41" s="1"/>
        <i x="13" s="1"/>
        <i x="108" s="1"/>
        <i x="48" s="1"/>
        <i x="113" s="1"/>
        <i x="59" s="1"/>
        <i x="38" s="1"/>
        <i x="10" s="1"/>
        <i x="138" s="1"/>
        <i x="101" s="1"/>
        <i x="5" s="1"/>
        <i x="14" s="1"/>
        <i x="51" s="1"/>
        <i x="26" s="1"/>
        <i x="43" s="1"/>
        <i x="88" s="1"/>
        <i x="137" s="1"/>
        <i x="76" s="1"/>
        <i x="73" s="1"/>
        <i x="42" s="1"/>
        <i x="128" s="1"/>
        <i x="96" s="1"/>
        <i x="98" s="1"/>
        <i x="140" s="1"/>
        <i x="52" s="1"/>
        <i x="91" s="1"/>
        <i x="78" s="1"/>
        <i x="130" s="1"/>
        <i x="122" s="1"/>
        <i x="123" s="1"/>
        <i x="8" s="1"/>
        <i x="90" s="1"/>
        <i x="134" s="1"/>
        <i x="18" s="1"/>
        <i x="93" s="1"/>
        <i x="40" s="1"/>
        <i x="87" s="1"/>
        <i x="56" s="1"/>
        <i x="100" s="1"/>
        <i x="0" s="1"/>
        <i x="129" s="1"/>
        <i x="68" s="1"/>
        <i x="39" s="1"/>
        <i x="117" s="1"/>
        <i x="135" s="1"/>
        <i x="20" s="1"/>
        <i x="12" s="1"/>
        <i x="17" s="1"/>
        <i x="60" s="1"/>
        <i x="112" s="1"/>
        <i x="62" s="1"/>
        <i x="74" s="1"/>
        <i x="47" s="1"/>
        <i x="106" s="1"/>
        <i x="64" s="1"/>
        <i x="50" s="1"/>
        <i x="19" s="1"/>
        <i x="23" s="1"/>
        <i x="110" s="1"/>
        <i x="142" s="1"/>
        <i x="102" s="1"/>
        <i x="44" s="1"/>
        <i x="11" s="1"/>
        <i x="9" s="1"/>
        <i x="2" s="1"/>
        <i x="16" s="1"/>
        <i x="77" s="1"/>
        <i x="89" s="1"/>
        <i x="133" s="1"/>
        <i x="29" s="1"/>
        <i x="69" s="1"/>
        <i x="136" s="1"/>
        <i x="61" s="1"/>
        <i x="92" s="1"/>
        <i x="71" s="1"/>
        <i x="105" s="1"/>
        <i x="107" s="1"/>
        <i x="28" s="1"/>
        <i x="72" s="1"/>
        <i x="97" s="1"/>
        <i x="119" s="1"/>
        <i x="45" s="1"/>
        <i x="32" s="1"/>
        <i x="81" s="1"/>
        <i x="30" s="1"/>
        <i x="109" s="1"/>
        <i x="66" s="1"/>
        <i x="124" s="1"/>
        <i x="144" s="1"/>
        <i x="132" s="1"/>
        <i x="36" s="1"/>
        <i x="34" s="1"/>
        <i x="35" s="1"/>
        <i x="14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1579EF16-B0DF-415E-A69F-B79958DD360D}" sourceName="Performance Band">
  <pivotTables>
    <pivotTable tabId="7" name="PivotTable2"/>
    <pivotTable tabId="7" name="PivotTable3"/>
    <pivotTable tabId="7" name="PivotTable4"/>
  </pivotTables>
  <data>
    <tabular pivotCacheId="381779277">
      <items count="6">
        <i x="1" s="1"/>
        <i x="0" s="1"/>
        <i x="3"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Code" xr10:uid="{B069A89B-51F2-4A3D-A4C5-C15BB2B94419}" cache="Slicer_Dept_Code" caption="Dept Code" startItem="2" rowHeight="234950"/>
  <slicer name="Years Of Service" xr10:uid="{EDB21EB0-A63A-4724-81E3-FF4C80CA4EF4}" cache="Slicer_Years_Of_Service" caption="Years Of Service" rowHeight="234950"/>
  <slicer name="Performance Band" xr10:uid="{A2345ED3-9F87-4401-9978-8BE8923A98EB}" cache="Slicer_Performance_Band" caption="Performance B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EE70F2-9384-4C53-96AC-6ECBD56B0B02}" name="EmployeeData" displayName="EmployeeData" ref="A1:L151" totalsRowShown="0" headerRowDxfId="9" headerRowBorderDxfId="8" tableBorderDxfId="7">
  <autoFilter ref="A1:L151" xr:uid="{0EEE70F2-9384-4C53-96AC-6ECBD56B0B02}"/>
  <tableColumns count="12">
    <tableColumn id="1" xr3:uid="{F637251C-8BA8-4F81-A11D-622E27117A1F}" name="Emp ID"/>
    <tableColumn id="12" xr3:uid="{A448C2FC-CAAC-4735-8EB0-D0393F7AC580}" name="Name" dataDxfId="6"/>
    <tableColumn id="4" xr3:uid="{E462CBD5-B687-410C-BB94-FE166888BD96}" name="Dept Code"/>
    <tableColumn id="5" xr3:uid="{B03C6D51-CC64-4850-B2E8-675F44D39651}" name="Hire Date" dataDxfId="5"/>
    <tableColumn id="21" xr3:uid="{1E4BA86E-D9CD-4A42-B7EB-E52A25661273}" name="Salary" dataDxfId="4"/>
    <tableColumn id="7" xr3:uid="{78ADE453-49D0-4592-AB89-85B131F78E04}" name="Perf_Score"/>
    <tableColumn id="8" xr3:uid="{AF99B4C2-8A09-4C65-9CFE-2B5BBF0EC1AE}" name="Employment Status2"/>
    <tableColumn id="14" xr3:uid="{9F338EED-C92F-433E-99BC-39CD7CD85458}" name="Department Name" dataDxfId="3">
      <calculatedColumnFormula>VLOOKUP(EmployeeData[[#This Row],[Dept Code]],Lookup_Departments!$A$1:$B$7,2,FALSE)</calculatedColumnFormula>
    </tableColumn>
    <tableColumn id="15" xr3:uid="{9003C35E-F295-4E14-B664-972D8C321602}" name="Years Of Service" dataDxfId="2">
      <calculatedColumnFormula>YEARFRAC(EmployeeData[[#This Row],[Hire Date]],TODAY())</calculatedColumnFormula>
    </tableColumn>
    <tableColumn id="16" xr3:uid="{8E7A37FF-DD45-4A54-ADDF-BFF9CA571A20}" name="Performance Band" dataDxfId="1">
      <calculatedColumnFormula>VLOOKUP(EmployeeData[[#This Row],[Perf_Score]],Lookup_Performance!$A$2:$C$6,3,TRUE)</calculatedColumnFormula>
    </tableColumn>
    <tableColumn id="18" xr3:uid="{E5548BB8-FF9D-448A-8F00-7C2797E5E938}" name="Bonus Percent" dataCellStyle="Per cent">
      <calculatedColumnFormula>VLOOKUP(EmployeeData[[#This Row],[Performance Band]],Lookup_Performance!$C$1:$D$6,2,FALSE)</calculatedColumnFormula>
    </tableColumn>
    <tableColumn id="17" xr3:uid="{9D166BD2-4B0C-487A-A68E-6A0E43E7485F}" name="Bonus Payout" dataDxfId="0">
      <calculatedColumnFormula>EmployeeData[[#This Row],[Salary]]*EmployeeData[[#This Row],[Bonus Percent]]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9BC7C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EF8A2104-8DAA-4E79-89DB-3637CA4B6E02}" sourceName="Hire Date">
  <pivotTables>
    <pivotTable tabId="7" name="PivotTable2"/>
  </pivotTables>
  <state minimalRefreshVersion="6" lastRefreshVersion="6" pivotCacheId="381779277" filterType="unknown">
    <bounds startDate="2001-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xr10:uid="{36EF54D0-A778-4676-9C39-92C8B57ECA9A}" cache="NativeTimeline_Hire_Date" caption="Hire Date" level="2" selectionLevel="2" scrollPosition="2028-06-28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1A6AC-4C70-46C3-8326-58601CC6710E}">
  <dimension ref="A2:S18"/>
  <sheetViews>
    <sheetView zoomScale="70" zoomScaleNormal="70" workbookViewId="0">
      <selection activeCell="C7" sqref="C7"/>
    </sheetView>
  </sheetViews>
  <sheetFormatPr defaultRowHeight="14.4" x14ac:dyDescent="0.3"/>
  <cols>
    <col min="1" max="1" width="21.88671875" bestFit="1" customWidth="1"/>
    <col min="2" max="3" width="16" bestFit="1" customWidth="1"/>
    <col min="4" max="4" width="15.77734375" bestFit="1" customWidth="1"/>
    <col min="5" max="5" width="6.44140625" bestFit="1" customWidth="1"/>
    <col min="6" max="6" width="21.88671875" bestFit="1" customWidth="1"/>
    <col min="7" max="7" width="16.33203125" bestFit="1" customWidth="1"/>
    <col min="8" max="8" width="7" bestFit="1" customWidth="1"/>
    <col min="9" max="9" width="11" bestFit="1" customWidth="1"/>
    <col min="10" max="10" width="7" bestFit="1" customWidth="1"/>
    <col min="11" max="11" width="10.77734375" bestFit="1" customWidth="1"/>
    <col min="12" max="12" width="12.5546875" bestFit="1" customWidth="1"/>
    <col min="13" max="13" width="14.88671875" bestFit="1" customWidth="1"/>
    <col min="14" max="14" width="20.21875" bestFit="1" customWidth="1"/>
    <col min="15" max="15" width="10.77734375" bestFit="1" customWidth="1"/>
    <col min="16" max="16" width="17.77734375" bestFit="1" customWidth="1"/>
    <col min="17" max="17" width="18.33203125" bestFit="1" customWidth="1"/>
    <col min="18" max="18" width="19.109375" bestFit="1" customWidth="1"/>
    <col min="19" max="19" width="19.33203125" bestFit="1" customWidth="1"/>
    <col min="20" max="20" width="18.33203125" bestFit="1" customWidth="1"/>
    <col min="21" max="21" width="19.33203125" bestFit="1" customWidth="1"/>
    <col min="22" max="26" width="7.88671875" bestFit="1" customWidth="1"/>
    <col min="27" max="27" width="12" bestFit="1" customWidth="1"/>
    <col min="28" max="29" width="7.88671875" bestFit="1" customWidth="1"/>
    <col min="30" max="30" width="12" bestFit="1" customWidth="1"/>
    <col min="31" max="35" width="7.88671875" bestFit="1" customWidth="1"/>
    <col min="36" max="36" width="12" bestFit="1" customWidth="1"/>
    <col min="37" max="41" width="7.88671875" bestFit="1" customWidth="1"/>
    <col min="42" max="43" width="12" bestFit="1" customWidth="1"/>
    <col min="44" max="53" width="7.88671875" bestFit="1" customWidth="1"/>
    <col min="54" max="54" width="12" bestFit="1" customWidth="1"/>
    <col min="55" max="65" width="7.88671875" bestFit="1" customWidth="1"/>
    <col min="66" max="66" width="12" bestFit="1" customWidth="1"/>
    <col min="67" max="74" width="7.88671875" bestFit="1" customWidth="1"/>
    <col min="75" max="75" width="12" bestFit="1" customWidth="1"/>
    <col min="76" max="88" width="7.88671875" bestFit="1" customWidth="1"/>
    <col min="89" max="89" width="12" bestFit="1" customWidth="1"/>
    <col min="90" max="91" width="7.88671875" bestFit="1" customWidth="1"/>
    <col min="92" max="92" width="12" bestFit="1" customWidth="1"/>
    <col min="93" max="100" width="7.88671875" bestFit="1" customWidth="1"/>
    <col min="101" max="102" width="12" bestFit="1" customWidth="1"/>
    <col min="103" max="120" width="7.88671875" bestFit="1" customWidth="1"/>
    <col min="121" max="121" width="12" bestFit="1" customWidth="1"/>
    <col min="122" max="124" width="7.88671875" bestFit="1" customWidth="1"/>
    <col min="125" max="125" width="12" bestFit="1" customWidth="1"/>
    <col min="126" max="128" width="7.88671875" bestFit="1" customWidth="1"/>
    <col min="129" max="129" width="12" bestFit="1" customWidth="1"/>
    <col min="130" max="144" width="7.88671875" bestFit="1" customWidth="1"/>
    <col min="145" max="145" width="12" bestFit="1" customWidth="1"/>
    <col min="146" max="148" width="7.88671875" bestFit="1" customWidth="1"/>
    <col min="149" max="149" width="12" bestFit="1" customWidth="1"/>
    <col min="150" max="151" width="7.88671875" bestFit="1" customWidth="1"/>
    <col min="152" max="152" width="7" bestFit="1" customWidth="1"/>
    <col min="153" max="153" width="12" bestFit="1" customWidth="1"/>
  </cols>
  <sheetData>
    <row r="2" spans="1:19" x14ac:dyDescent="0.3">
      <c r="A2" s="21" t="s">
        <v>298</v>
      </c>
      <c r="F2" s="21" t="s">
        <v>301</v>
      </c>
      <c r="M2" s="21" t="s">
        <v>303</v>
      </c>
      <c r="Q2" s="21"/>
      <c r="R2" s="28" t="s">
        <v>318</v>
      </c>
    </row>
    <row r="3" spans="1:19" x14ac:dyDescent="0.3">
      <c r="A3" s="17" t="s">
        <v>300</v>
      </c>
      <c r="B3" s="27" t="s">
        <v>319</v>
      </c>
      <c r="C3" s="27" t="s">
        <v>295</v>
      </c>
      <c r="F3" s="17" t="s">
        <v>302</v>
      </c>
      <c r="G3" s="17" t="s">
        <v>296</v>
      </c>
      <c r="M3" s="17" t="s">
        <v>305</v>
      </c>
      <c r="N3" t="s">
        <v>304</v>
      </c>
      <c r="R3" s="17" t="s">
        <v>293</v>
      </c>
      <c r="S3" t="s">
        <v>317</v>
      </c>
    </row>
    <row r="4" spans="1:19" x14ac:dyDescent="0.3">
      <c r="A4" s="18" t="s">
        <v>173</v>
      </c>
      <c r="B4" s="16">
        <v>17</v>
      </c>
      <c r="C4" s="7">
        <v>87016.42857142858</v>
      </c>
      <c r="F4" s="17" t="s">
        <v>306</v>
      </c>
      <c r="G4" s="27" t="s">
        <v>24</v>
      </c>
      <c r="H4" s="27" t="s">
        <v>15</v>
      </c>
      <c r="I4" s="27" t="s">
        <v>297</v>
      </c>
      <c r="M4" s="18" t="s">
        <v>24</v>
      </c>
      <c r="N4" s="6">
        <v>67.741379310344826</v>
      </c>
      <c r="R4" s="18" t="s">
        <v>183</v>
      </c>
      <c r="S4" s="29">
        <v>164994.30714285717</v>
      </c>
    </row>
    <row r="5" spans="1:19" x14ac:dyDescent="0.3">
      <c r="A5" s="18" t="s">
        <v>171</v>
      </c>
      <c r="B5" s="16">
        <v>18</v>
      </c>
      <c r="C5" s="7">
        <v>85486.801587301597</v>
      </c>
      <c r="F5" s="18" t="s">
        <v>173</v>
      </c>
      <c r="G5" s="20">
        <v>0.82352941176470584</v>
      </c>
      <c r="H5" s="20">
        <v>0.17647058823529413</v>
      </c>
      <c r="I5" s="20">
        <v>1</v>
      </c>
      <c r="M5" s="18" t="s">
        <v>15</v>
      </c>
      <c r="N5" s="6">
        <v>66.208333333333329</v>
      </c>
      <c r="R5" s="18" t="s">
        <v>182</v>
      </c>
      <c r="S5" s="29">
        <v>84450.788571428595</v>
      </c>
    </row>
    <row r="6" spans="1:19" x14ac:dyDescent="0.3">
      <c r="A6" s="18" t="s">
        <v>172</v>
      </c>
      <c r="B6" s="16">
        <v>36</v>
      </c>
      <c r="C6" s="7">
        <v>80389.14285714287</v>
      </c>
      <c r="F6" s="18" t="s">
        <v>171</v>
      </c>
      <c r="G6" s="20">
        <v>0.88235294117647056</v>
      </c>
      <c r="H6" s="20">
        <v>0.11764705882352941</v>
      </c>
      <c r="I6" s="20">
        <v>1</v>
      </c>
      <c r="M6" s="18" t="s">
        <v>297</v>
      </c>
      <c r="N6" s="16">
        <v>67.478571428571428</v>
      </c>
      <c r="R6" s="18" t="s">
        <v>184</v>
      </c>
      <c r="S6" s="29">
        <v>144546.9485714286</v>
      </c>
    </row>
    <row r="7" spans="1:19" x14ac:dyDescent="0.3">
      <c r="A7" s="18" t="s">
        <v>174</v>
      </c>
      <c r="B7" s="16">
        <v>19</v>
      </c>
      <c r="C7" s="7">
        <v>85361.075187969924</v>
      </c>
      <c r="F7" s="18" t="s">
        <v>172</v>
      </c>
      <c r="G7" s="20">
        <v>0.82352941176470584</v>
      </c>
      <c r="H7" s="20">
        <v>0.17647058823529413</v>
      </c>
      <c r="I7" s="20">
        <v>1</v>
      </c>
      <c r="R7" s="18" t="s">
        <v>181</v>
      </c>
      <c r="S7" s="29">
        <v>0</v>
      </c>
    </row>
    <row r="8" spans="1:19" x14ac:dyDescent="0.3">
      <c r="A8" s="18" t="s">
        <v>176</v>
      </c>
      <c r="B8" s="16">
        <v>29</v>
      </c>
      <c r="C8" s="7">
        <v>79988.512315270942</v>
      </c>
      <c r="F8" s="18" t="s">
        <v>174</v>
      </c>
      <c r="G8" s="20">
        <v>0.84210526315789469</v>
      </c>
      <c r="H8" s="20">
        <v>0.15789473684210525</v>
      </c>
      <c r="I8" s="20">
        <v>1</v>
      </c>
      <c r="R8" s="18" t="s">
        <v>185</v>
      </c>
      <c r="S8" s="29">
        <v>92304.651428571437</v>
      </c>
    </row>
    <row r="9" spans="1:19" x14ac:dyDescent="0.3">
      <c r="A9" s="18" t="s">
        <v>175</v>
      </c>
      <c r="B9" s="16">
        <v>31</v>
      </c>
      <c r="C9" s="7">
        <v>86103.271889400945</v>
      </c>
      <c r="F9" s="18" t="s">
        <v>176</v>
      </c>
      <c r="G9" s="20">
        <v>0.75</v>
      </c>
      <c r="H9" s="20">
        <v>0.25</v>
      </c>
      <c r="I9" s="20">
        <v>1</v>
      </c>
      <c r="R9" s="18" t="s">
        <v>297</v>
      </c>
      <c r="S9" s="29">
        <v>486296.69571428583</v>
      </c>
    </row>
    <row r="10" spans="1:19" x14ac:dyDescent="0.3">
      <c r="A10" s="18" t="s">
        <v>297</v>
      </c>
      <c r="B10" s="16">
        <v>150</v>
      </c>
      <c r="C10" s="7">
        <v>83485.197142857171</v>
      </c>
      <c r="F10" s="18" t="s">
        <v>175</v>
      </c>
      <c r="G10" s="20">
        <v>0.86206896551724133</v>
      </c>
      <c r="H10" s="20">
        <v>0.13793103448275862</v>
      </c>
      <c r="I10" s="20">
        <v>1</v>
      </c>
    </row>
    <row r="11" spans="1:19" x14ac:dyDescent="0.3">
      <c r="F11" s="18" t="s">
        <v>297</v>
      </c>
      <c r="G11" s="20">
        <v>0.82857142857142863</v>
      </c>
      <c r="H11" s="20">
        <v>0.17142857142857143</v>
      </c>
      <c r="I11" s="20">
        <v>1</v>
      </c>
      <c r="M11" s="30" t="s">
        <v>316</v>
      </c>
      <c r="N11" s="31"/>
    </row>
    <row r="12" spans="1:19" x14ac:dyDescent="0.3">
      <c r="M12" s="17" t="s">
        <v>293</v>
      </c>
      <c r="N12" t="s">
        <v>315</v>
      </c>
    </row>
    <row r="13" spans="1:19" x14ac:dyDescent="0.3">
      <c r="M13" s="26" t="s">
        <v>183</v>
      </c>
      <c r="N13" s="24">
        <v>164994.30714285717</v>
      </c>
    </row>
    <row r="14" spans="1:19" x14ac:dyDescent="0.3">
      <c r="M14" s="26" t="s">
        <v>182</v>
      </c>
      <c r="N14" s="24">
        <v>84450.788571428595</v>
      </c>
    </row>
    <row r="15" spans="1:19" x14ac:dyDescent="0.3">
      <c r="M15" s="26" t="s">
        <v>184</v>
      </c>
      <c r="N15" s="24">
        <v>144546.9485714286</v>
      </c>
    </row>
    <row r="16" spans="1:19" x14ac:dyDescent="0.3">
      <c r="M16" s="26" t="s">
        <v>181</v>
      </c>
      <c r="N16" s="24">
        <v>0</v>
      </c>
    </row>
    <row r="17" spans="13:14" x14ac:dyDescent="0.3">
      <c r="M17" s="26" t="s">
        <v>185</v>
      </c>
      <c r="N17" s="24">
        <v>92304.651428571437</v>
      </c>
    </row>
    <row r="18" spans="13:14" x14ac:dyDescent="0.3">
      <c r="M18" s="26" t="s">
        <v>297</v>
      </c>
      <c r="N18" s="24">
        <v>486296.69571428583</v>
      </c>
    </row>
  </sheetData>
  <mergeCells count="1">
    <mergeCell ref="M11:N11"/>
  </mergeCell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88C5-72C0-43E1-B11C-B944E12FF3D8}">
  <dimension ref="A1"/>
  <sheetViews>
    <sheetView tabSelected="1" zoomScale="70" zoomScaleNormal="70" workbookViewId="0">
      <selection activeCell="Y5" sqref="Y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opLeftCell="G1" zoomScale="130" zoomScaleNormal="130" workbookViewId="0">
      <selection activeCell="L3" sqref="L3"/>
    </sheetView>
  </sheetViews>
  <sheetFormatPr defaultRowHeight="14.4" x14ac:dyDescent="0.3"/>
  <cols>
    <col min="2" max="2" width="17.33203125" bestFit="1" customWidth="1"/>
    <col min="3" max="3" width="18.109375" style="11" bestFit="1" customWidth="1"/>
    <col min="4" max="4" width="11" style="8" bestFit="1" customWidth="1"/>
    <col min="5" max="5" width="18.88671875" customWidth="1"/>
    <col min="6" max="6" width="17.33203125" bestFit="1" customWidth="1"/>
    <col min="7" max="7" width="17.88671875" bestFit="1" customWidth="1"/>
    <col min="8" max="8" width="21.21875" bestFit="1" customWidth="1"/>
    <col min="9" max="9" width="21.21875" customWidth="1"/>
    <col min="10" max="10" width="13" style="13" bestFit="1" customWidth="1"/>
    <col min="12" max="12" width="17.109375" bestFit="1" customWidth="1"/>
  </cols>
  <sheetData>
    <row r="1" spans="1:12" x14ac:dyDescent="0.3">
      <c r="A1" s="4" t="s">
        <v>0</v>
      </c>
      <c r="B1" s="4" t="s">
        <v>291</v>
      </c>
      <c r="C1" s="4" t="s">
        <v>1</v>
      </c>
      <c r="D1" s="10" t="s">
        <v>2</v>
      </c>
      <c r="E1" s="14" t="s">
        <v>3</v>
      </c>
      <c r="F1" s="4" t="s">
        <v>4</v>
      </c>
      <c r="G1" s="4" t="s">
        <v>186</v>
      </c>
      <c r="H1" s="4" t="s">
        <v>292</v>
      </c>
      <c r="I1" s="4" t="s">
        <v>299</v>
      </c>
      <c r="J1" s="4" t="s">
        <v>293</v>
      </c>
      <c r="K1" s="19" t="s">
        <v>294</v>
      </c>
      <c r="L1" s="15" t="s">
        <v>307</v>
      </c>
    </row>
    <row r="2" spans="1:12" x14ac:dyDescent="0.3">
      <c r="A2" t="s">
        <v>5</v>
      </c>
      <c r="B2" s="2" t="s">
        <v>187</v>
      </c>
      <c r="C2" t="s">
        <v>7</v>
      </c>
      <c r="D2" s="10">
        <v>43093</v>
      </c>
      <c r="E2" s="12">
        <v>50361</v>
      </c>
      <c r="F2">
        <v>52</v>
      </c>
      <c r="G2" t="s">
        <v>24</v>
      </c>
      <c r="H2" t="str">
        <f>VLOOKUP(EmployeeData[[#This Row],[Dept Code]],Lookup_Departments!$A$1:$B$7,2,FALSE)</f>
        <v>Information Technology</v>
      </c>
      <c r="I2" s="7">
        <f ca="1">YEARFRAC(EmployeeData[[#This Row],[Hire Date]],TODAY())</f>
        <v>8.5388888888888896</v>
      </c>
      <c r="J2" t="str">
        <f>VLOOKUP(EmployeeData[[#This Row],[Perf_Score]],Lookup_Performance!$A$2:$C$6,3,TRUE)</f>
        <v>Developing</v>
      </c>
      <c r="K2" s="22">
        <f>VLOOKUP(EmployeeData[[#This Row],[Performance Band]],Lookup_Performance!$C$1:$D$6,2,FALSE)</f>
        <v>0.02</v>
      </c>
      <c r="L2" s="13">
        <f>EmployeeData[[#This Row],[Salary]]*EmployeeData[[#This Row],[Bonus Percent]]</f>
        <v>1007.22</v>
      </c>
    </row>
    <row r="3" spans="1:12" x14ac:dyDescent="0.3">
      <c r="A3" t="s">
        <v>8</v>
      </c>
      <c r="B3" s="3" t="s">
        <v>188</v>
      </c>
      <c r="C3" t="s">
        <v>9</v>
      </c>
      <c r="D3" s="10">
        <v>44777</v>
      </c>
      <c r="E3" s="12">
        <v>112673</v>
      </c>
      <c r="F3">
        <v>68</v>
      </c>
      <c r="G3" t="s">
        <v>24</v>
      </c>
      <c r="H3" t="str">
        <f>VLOOKUP(EmployeeData[[#This Row],[Dept Code]],Lookup_Departments!$A$1:$B$7,2,FALSE)</f>
        <v>Marketing</v>
      </c>
      <c r="I3" s="7">
        <f ca="1">YEARFRAC(EmployeeData[[#This Row],[Hire Date]],TODAY())</f>
        <v>3.9277777777777776</v>
      </c>
      <c r="J3" t="str">
        <f>VLOOKUP(EmployeeData[[#This Row],[Perf_Score]],Lookup_Performance!$A$2:$C$6,3,TRUE)</f>
        <v>Developing</v>
      </c>
      <c r="K3" s="22">
        <f>VLOOKUP(EmployeeData[[#This Row],[Performance Band]],Lookup_Performance!$C$1:$D$6,2,FALSE)</f>
        <v>0.02</v>
      </c>
      <c r="L3" s="13">
        <f>EmployeeData[[#This Row],[Salary]]*EmployeeData[[#This Row],[Bonus Percent]]</f>
        <v>2253.46</v>
      </c>
    </row>
    <row r="4" spans="1:12" x14ac:dyDescent="0.3">
      <c r="A4" t="s">
        <v>10</v>
      </c>
      <c r="B4" s="2" t="s">
        <v>189</v>
      </c>
      <c r="C4" t="s">
        <v>7</v>
      </c>
      <c r="D4" s="10">
        <v>42403</v>
      </c>
      <c r="E4" s="12">
        <v>114425</v>
      </c>
      <c r="F4">
        <v>54</v>
      </c>
      <c r="G4" t="s">
        <v>15</v>
      </c>
      <c r="H4" t="str">
        <f>VLOOKUP(EmployeeData[[#This Row],[Dept Code]],Lookup_Departments!$A$1:$B$7,2,FALSE)</f>
        <v>Information Technology</v>
      </c>
      <c r="I4" s="7">
        <f ca="1">YEARFRAC(EmployeeData[[#This Row],[Hire Date]],TODAY())</f>
        <v>10.430555555555555</v>
      </c>
      <c r="J4" t="str">
        <f>VLOOKUP(EmployeeData[[#This Row],[Perf_Score]],Lookup_Performance!$A$2:$C$6,3,TRUE)</f>
        <v>Developing</v>
      </c>
      <c r="K4" s="22">
        <f>VLOOKUP(EmployeeData[[#This Row],[Performance Band]],Lookup_Performance!$C$1:$D$6,2,FALSE)</f>
        <v>0.02</v>
      </c>
      <c r="L4" s="13">
        <f>EmployeeData[[#This Row],[Salary]]*EmployeeData[[#This Row],[Bonus Percent]]</f>
        <v>2288.5</v>
      </c>
    </row>
    <row r="5" spans="1:12" x14ac:dyDescent="0.3">
      <c r="A5" t="s">
        <v>11</v>
      </c>
      <c r="B5" s="3" t="s">
        <v>190</v>
      </c>
      <c r="C5" t="s">
        <v>12</v>
      </c>
      <c r="D5" s="10">
        <v>44992</v>
      </c>
      <c r="E5" s="12">
        <v>103831</v>
      </c>
      <c r="F5">
        <v>70</v>
      </c>
      <c r="G5" t="s">
        <v>24</v>
      </c>
      <c r="H5" s="7" t="str">
        <f>VLOOKUP(EmployeeData[[#This Row],[Dept Code]],Lookup_Departments!$A$1:$B$7,2,FALSE)</f>
        <v>Finance</v>
      </c>
      <c r="I5" s="7">
        <f ca="1">YEARFRAC(EmployeeData[[#This Row],[Hire Date]],TODAY())</f>
        <v>3.3361111111111112</v>
      </c>
      <c r="J5" t="str">
        <f>VLOOKUP(EmployeeData[[#This Row],[Perf_Score]],Lookup_Performance!$A$2:$C$6,3,TRUE)</f>
        <v>Achieving</v>
      </c>
      <c r="K5" s="22">
        <f>VLOOKUP(EmployeeData[[#This Row],[Performance Band]],Lookup_Performance!$C$1:$D$6,2,FALSE)</f>
        <v>0.05</v>
      </c>
      <c r="L5" s="13">
        <f>EmployeeData[[#This Row],[Salary]]*EmployeeData[[#This Row],[Bonus Percent]]</f>
        <v>5191.55</v>
      </c>
    </row>
    <row r="6" spans="1:12" x14ac:dyDescent="0.3">
      <c r="A6" t="s">
        <v>13</v>
      </c>
      <c r="B6" s="2" t="s">
        <v>191</v>
      </c>
      <c r="C6" t="s">
        <v>7</v>
      </c>
      <c r="D6" s="10">
        <v>44977</v>
      </c>
      <c r="E6" s="12">
        <v>73785</v>
      </c>
      <c r="F6">
        <v>40</v>
      </c>
      <c r="G6" t="s">
        <v>15</v>
      </c>
      <c r="H6" t="str">
        <f>VLOOKUP(EmployeeData[[#This Row],[Dept Code]],Lookup_Departments!$A$1:$B$7,2,FALSE)</f>
        <v>Information Technology</v>
      </c>
      <c r="I6" s="7">
        <f ca="1">YEARFRAC(EmployeeData[[#This Row],[Hire Date]],TODAY())</f>
        <v>3.3833333333333333</v>
      </c>
      <c r="J6" t="str">
        <f>VLOOKUP(EmployeeData[[#This Row],[Perf_Score]],Lookup_Performance!$A$2:$C$6,3,TRUE)</f>
        <v>Needs Improvement</v>
      </c>
      <c r="K6" s="22">
        <f>VLOOKUP(EmployeeData[[#This Row],[Performance Band]],Lookup_Performance!$C$1:$D$6,2,FALSE)</f>
        <v>0</v>
      </c>
      <c r="L6" s="13">
        <f>EmployeeData[[#This Row],[Salary]]*EmployeeData[[#This Row],[Bonus Percent]]</f>
        <v>0</v>
      </c>
    </row>
    <row r="7" spans="1:12" x14ac:dyDescent="0.3">
      <c r="A7" t="s">
        <v>16</v>
      </c>
      <c r="B7" s="3" t="s">
        <v>192</v>
      </c>
      <c r="C7" t="s">
        <v>17</v>
      </c>
      <c r="D7" s="10">
        <v>43864</v>
      </c>
      <c r="E7" s="12">
        <v>115882</v>
      </c>
      <c r="F7">
        <v>49</v>
      </c>
      <c r="G7" t="s">
        <v>24</v>
      </c>
      <c r="H7" t="str">
        <f>VLOOKUP(EmployeeData[[#This Row],[Dept Code]],Lookup_Departments!$A$1:$B$7,2,FALSE)</f>
        <v>Operations</v>
      </c>
      <c r="I7" s="7">
        <f ca="1">YEARFRAC(EmployeeData[[#This Row],[Hire Date]],TODAY())</f>
        <v>6.4305555555555554</v>
      </c>
      <c r="J7" t="str">
        <f>VLOOKUP(EmployeeData[[#This Row],[Perf_Score]],Lookup_Performance!$A$2:$C$6,3,TRUE)</f>
        <v>Needs Improvement</v>
      </c>
      <c r="K7" s="22">
        <f>VLOOKUP(EmployeeData[[#This Row],[Performance Band]],Lookup_Performance!$C$1:$D$6,2,FALSE)</f>
        <v>0</v>
      </c>
      <c r="L7" s="13">
        <f>EmployeeData[[#This Row],[Salary]]*EmployeeData[[#This Row],[Bonus Percent]]</f>
        <v>0</v>
      </c>
    </row>
    <row r="8" spans="1:12" x14ac:dyDescent="0.3">
      <c r="A8" t="s">
        <v>18</v>
      </c>
      <c r="B8" s="2" t="s">
        <v>193</v>
      </c>
      <c r="C8" t="s">
        <v>17</v>
      </c>
      <c r="D8" s="10">
        <v>45272</v>
      </c>
      <c r="E8" s="12">
        <v>59980</v>
      </c>
      <c r="F8">
        <v>70</v>
      </c>
      <c r="G8" t="s">
        <v>15</v>
      </c>
      <c r="H8" t="str">
        <f>VLOOKUP(EmployeeData[[#This Row],[Dept Code]],Lookup_Departments!$A$1:$B$7,2,FALSE)</f>
        <v>Operations</v>
      </c>
      <c r="I8" s="7">
        <f ca="1">YEARFRAC(EmployeeData[[#This Row],[Hire Date]],TODAY())</f>
        <v>2.5722222222222224</v>
      </c>
      <c r="J8" t="str">
        <f>VLOOKUP(EmployeeData[[#This Row],[Perf_Score]],Lookup_Performance!$A$2:$C$6,3,TRUE)</f>
        <v>Achieving</v>
      </c>
      <c r="K8" s="22">
        <f>VLOOKUP(EmployeeData[[#This Row],[Performance Band]],Lookup_Performance!$C$1:$D$6,2,FALSE)</f>
        <v>0.05</v>
      </c>
      <c r="L8" s="13">
        <f>EmployeeData[[#This Row],[Salary]]*EmployeeData[[#This Row],[Bonus Percent]]</f>
        <v>2999</v>
      </c>
    </row>
    <row r="9" spans="1:12" x14ac:dyDescent="0.3">
      <c r="A9" t="s">
        <v>19</v>
      </c>
      <c r="B9" s="3" t="s">
        <v>194</v>
      </c>
      <c r="C9" t="s">
        <v>17</v>
      </c>
      <c r="D9" s="10">
        <v>44086</v>
      </c>
      <c r="E9" s="12">
        <v>68728</v>
      </c>
      <c r="F9">
        <v>45</v>
      </c>
      <c r="G9" t="s">
        <v>24</v>
      </c>
      <c r="H9" t="str">
        <f>VLOOKUP(EmployeeData[[#This Row],[Dept Code]],Lookup_Departments!$A$1:$B$7,2,FALSE)</f>
        <v>Operations</v>
      </c>
      <c r="I9" s="7">
        <f ca="1">YEARFRAC(EmployeeData[[#This Row],[Hire Date]],TODAY())</f>
        <v>5.822222222222222</v>
      </c>
      <c r="J9" t="str">
        <f>VLOOKUP(EmployeeData[[#This Row],[Perf_Score]],Lookup_Performance!$A$2:$C$6,3,TRUE)</f>
        <v>Needs Improvement</v>
      </c>
      <c r="K9" s="22">
        <f>VLOOKUP(EmployeeData[[#This Row],[Performance Band]],Lookup_Performance!$C$1:$D$6,2,FALSE)</f>
        <v>0</v>
      </c>
      <c r="L9" s="13">
        <f>EmployeeData[[#This Row],[Salary]]*EmployeeData[[#This Row],[Bonus Percent]]</f>
        <v>0</v>
      </c>
    </row>
    <row r="10" spans="1:12" x14ac:dyDescent="0.3">
      <c r="A10" t="s">
        <v>20</v>
      </c>
      <c r="B10" s="2" t="s">
        <v>21</v>
      </c>
      <c r="C10" t="s">
        <v>12</v>
      </c>
      <c r="D10" s="10">
        <v>43282</v>
      </c>
      <c r="E10" s="12">
        <v>102139</v>
      </c>
      <c r="F10">
        <v>79</v>
      </c>
      <c r="G10" t="s">
        <v>24</v>
      </c>
      <c r="H10" t="str">
        <f>VLOOKUP(EmployeeData[[#This Row],[Dept Code]],Lookup_Departments!$A$1:$B$7,2,FALSE)</f>
        <v>Finance</v>
      </c>
      <c r="I10" s="7">
        <f ca="1">YEARFRAC(EmployeeData[[#This Row],[Hire Date]],TODAY())</f>
        <v>8.0194444444444439</v>
      </c>
      <c r="J10" t="str">
        <f>VLOOKUP(EmployeeData[[#This Row],[Perf_Score]],Lookup_Performance!$A$2:$C$6,3,TRUE)</f>
        <v>Achieving</v>
      </c>
      <c r="K10" s="22">
        <f>VLOOKUP(EmployeeData[[#This Row],[Performance Band]],Lookup_Performance!$C$1:$D$6,2,FALSE)</f>
        <v>0.05</v>
      </c>
      <c r="L10" s="13">
        <f>EmployeeData[[#This Row],[Salary]]*EmployeeData[[#This Row],[Bonus Percent]]</f>
        <v>5106.9500000000007</v>
      </c>
    </row>
    <row r="11" spans="1:12" x14ac:dyDescent="0.3">
      <c r="A11" t="s">
        <v>22</v>
      </c>
      <c r="B11" s="3" t="s">
        <v>195</v>
      </c>
      <c r="C11" t="s">
        <v>23</v>
      </c>
      <c r="D11" s="10">
        <v>42411</v>
      </c>
      <c r="E11" s="12">
        <v>94998</v>
      </c>
      <c r="F11">
        <v>58</v>
      </c>
      <c r="G11" t="s">
        <v>24</v>
      </c>
      <c r="H11" t="str">
        <f>VLOOKUP(EmployeeData[[#This Row],[Dept Code]],Lookup_Departments!$A$1:$B$7,2,FALSE)</f>
        <v>Sales</v>
      </c>
      <c r="I11" s="7">
        <f ca="1">YEARFRAC(EmployeeData[[#This Row],[Hire Date]],TODAY())</f>
        <v>10.408333333333333</v>
      </c>
      <c r="J11" t="str">
        <f>VLOOKUP(EmployeeData[[#This Row],[Perf_Score]],Lookup_Performance!$A$2:$C$6,3,TRUE)</f>
        <v>Developing</v>
      </c>
      <c r="K11" s="22">
        <f>VLOOKUP(EmployeeData[[#This Row],[Performance Band]],Lookup_Performance!$C$1:$D$6,2,FALSE)</f>
        <v>0.02</v>
      </c>
      <c r="L11" s="13">
        <f>EmployeeData[[#This Row],[Salary]]*EmployeeData[[#This Row],[Bonus Percent]]</f>
        <v>1899.96</v>
      </c>
    </row>
    <row r="12" spans="1:12" x14ac:dyDescent="0.3">
      <c r="A12" t="s">
        <v>25</v>
      </c>
      <c r="B12" s="2" t="s">
        <v>196</v>
      </c>
      <c r="C12" t="s">
        <v>23</v>
      </c>
      <c r="D12" s="10">
        <v>43911</v>
      </c>
      <c r="E12" s="12">
        <v>118635</v>
      </c>
      <c r="F12">
        <v>49</v>
      </c>
      <c r="G12" t="s">
        <v>24</v>
      </c>
      <c r="H12" t="str">
        <f>VLOOKUP(EmployeeData[[#This Row],[Dept Code]],Lookup_Departments!$A$1:$B$7,2,FALSE)</f>
        <v>Sales</v>
      </c>
      <c r="I12" s="7">
        <f ca="1">YEARFRAC(EmployeeData[[#This Row],[Hire Date]],TODAY())</f>
        <v>6.2972222222222225</v>
      </c>
      <c r="J12" t="str">
        <f>VLOOKUP(EmployeeData[[#This Row],[Perf_Score]],Lookup_Performance!$A$2:$C$6,3,TRUE)</f>
        <v>Needs Improvement</v>
      </c>
      <c r="K12" s="22">
        <f>VLOOKUP(EmployeeData[[#This Row],[Performance Band]],Lookup_Performance!$C$1:$D$6,2,FALSE)</f>
        <v>0</v>
      </c>
      <c r="L12" s="13">
        <f>EmployeeData[[#This Row],[Salary]]*EmployeeData[[#This Row],[Bonus Percent]]</f>
        <v>0</v>
      </c>
    </row>
    <row r="13" spans="1:12" x14ac:dyDescent="0.3">
      <c r="A13" t="s">
        <v>26</v>
      </c>
      <c r="B13" s="3" t="s">
        <v>197</v>
      </c>
      <c r="C13" t="s">
        <v>7</v>
      </c>
      <c r="D13" s="10">
        <v>42425</v>
      </c>
      <c r="E13" s="12">
        <v>76918</v>
      </c>
      <c r="F13">
        <v>62</v>
      </c>
      <c r="G13" t="s">
        <v>24</v>
      </c>
      <c r="H13" t="str">
        <f>VLOOKUP(EmployeeData[[#This Row],[Dept Code]],Lookup_Departments!$A$1:$B$7,2,FALSE)</f>
        <v>Information Technology</v>
      </c>
      <c r="I13" s="7">
        <f ca="1">YEARFRAC(EmployeeData[[#This Row],[Hire Date]],TODAY())</f>
        <v>10.369444444444444</v>
      </c>
      <c r="J13" t="str">
        <f>VLOOKUP(EmployeeData[[#This Row],[Perf_Score]],Lookup_Performance!$A$2:$C$6,3,TRUE)</f>
        <v>Developing</v>
      </c>
      <c r="K13" s="22">
        <f>VLOOKUP(EmployeeData[[#This Row],[Performance Band]],Lookup_Performance!$C$1:$D$6,2,FALSE)</f>
        <v>0.02</v>
      </c>
      <c r="L13" s="13">
        <f>EmployeeData[[#This Row],[Salary]]*EmployeeData[[#This Row],[Bonus Percent]]</f>
        <v>1538.3600000000001</v>
      </c>
    </row>
    <row r="14" spans="1:12" x14ac:dyDescent="0.3">
      <c r="A14" t="s">
        <v>27</v>
      </c>
      <c r="B14" s="2" t="s">
        <v>198</v>
      </c>
      <c r="C14" t="s">
        <v>9</v>
      </c>
      <c r="D14" s="10">
        <v>42907</v>
      </c>
      <c r="E14" s="12">
        <v>61408</v>
      </c>
      <c r="F14">
        <v>48</v>
      </c>
      <c r="G14" t="s">
        <v>24</v>
      </c>
      <c r="H14" t="str">
        <f>VLOOKUP(EmployeeData[[#This Row],[Dept Code]],Lookup_Departments!$A$1:$B$7,2,FALSE)</f>
        <v>Marketing</v>
      </c>
      <c r="I14" s="7">
        <f ca="1">YEARFRAC(EmployeeData[[#This Row],[Hire Date]],TODAY())</f>
        <v>9.0472222222222225</v>
      </c>
      <c r="J14" t="str">
        <f>VLOOKUP(EmployeeData[[#This Row],[Perf_Score]],Lookup_Performance!$A$2:$C$6,3,TRUE)</f>
        <v>Needs Improvement</v>
      </c>
      <c r="K14" s="22">
        <f>VLOOKUP(EmployeeData[[#This Row],[Performance Band]],Lookup_Performance!$C$1:$D$6,2,FALSE)</f>
        <v>0</v>
      </c>
      <c r="L14" s="13">
        <f>EmployeeData[[#This Row],[Salary]]*EmployeeData[[#This Row],[Bonus Percent]]</f>
        <v>0</v>
      </c>
    </row>
    <row r="15" spans="1:12" x14ac:dyDescent="0.3">
      <c r="A15" t="s">
        <v>29</v>
      </c>
      <c r="B15" s="3" t="s">
        <v>199</v>
      </c>
      <c r="C15" t="s">
        <v>9</v>
      </c>
      <c r="D15" s="10">
        <v>44001</v>
      </c>
      <c r="E15" s="12">
        <v>99990</v>
      </c>
      <c r="F15">
        <v>54</v>
      </c>
      <c r="G15" t="s">
        <v>24</v>
      </c>
      <c r="H15" t="str">
        <f>VLOOKUP(EmployeeData[[#This Row],[Dept Code]],Lookup_Departments!$A$1:$B$7,2,FALSE)</f>
        <v>Marketing</v>
      </c>
      <c r="I15" s="7">
        <f ca="1">YEARFRAC(EmployeeData[[#This Row],[Hire Date]],TODAY())</f>
        <v>6.052777777777778</v>
      </c>
      <c r="J15" t="str">
        <f>VLOOKUP(EmployeeData[[#This Row],[Perf_Score]],Lookup_Performance!$A$2:$C$6,3,TRUE)</f>
        <v>Developing</v>
      </c>
      <c r="K15" s="22">
        <f>VLOOKUP(EmployeeData[[#This Row],[Performance Band]],Lookup_Performance!$C$1:$D$6,2,FALSE)</f>
        <v>0.02</v>
      </c>
      <c r="L15" s="13">
        <f>EmployeeData[[#This Row],[Salary]]*EmployeeData[[#This Row],[Bonus Percent]]</f>
        <v>1999.8</v>
      </c>
    </row>
    <row r="16" spans="1:12" x14ac:dyDescent="0.3">
      <c r="A16" t="s">
        <v>30</v>
      </c>
      <c r="B16" s="2" t="s">
        <v>200</v>
      </c>
      <c r="C16" t="s">
        <v>9</v>
      </c>
      <c r="D16" s="10">
        <v>43820</v>
      </c>
      <c r="E16" s="12">
        <v>80385</v>
      </c>
      <c r="F16">
        <v>68</v>
      </c>
      <c r="G16" t="s">
        <v>24</v>
      </c>
      <c r="H16" t="str">
        <f>VLOOKUP(EmployeeData[[#This Row],[Dept Code]],Lookup_Departments!$A$1:$B$7,2,FALSE)</f>
        <v>Marketing</v>
      </c>
      <c r="I16" s="7">
        <f ca="1">YEARFRAC(EmployeeData[[#This Row],[Hire Date]],TODAY())</f>
        <v>6.5472222222222225</v>
      </c>
      <c r="J16" t="str">
        <f>VLOOKUP(EmployeeData[[#This Row],[Perf_Score]],Lookup_Performance!$A$2:$C$6,3,TRUE)</f>
        <v>Developing</v>
      </c>
      <c r="K16" s="22">
        <f>VLOOKUP(EmployeeData[[#This Row],[Performance Band]],Lookup_Performance!$C$1:$D$6,2,FALSE)</f>
        <v>0.02</v>
      </c>
      <c r="L16" s="13">
        <f>EmployeeData[[#This Row],[Salary]]*EmployeeData[[#This Row],[Bonus Percent]]</f>
        <v>1607.7</v>
      </c>
    </row>
    <row r="17" spans="1:12" x14ac:dyDescent="0.3">
      <c r="A17" t="s">
        <v>32</v>
      </c>
      <c r="B17" s="3" t="s">
        <v>201</v>
      </c>
      <c r="C17" t="s">
        <v>23</v>
      </c>
      <c r="D17" s="10">
        <v>45169</v>
      </c>
      <c r="E17" s="12">
        <v>65290</v>
      </c>
      <c r="F17">
        <v>77</v>
      </c>
      <c r="G17" t="s">
        <v>24</v>
      </c>
      <c r="H17" t="str">
        <f>VLOOKUP(EmployeeData[[#This Row],[Dept Code]],Lookup_Departments!$A$1:$B$7,2,FALSE)</f>
        <v>Sales</v>
      </c>
      <c r="I17" s="7">
        <f ca="1">YEARFRAC(EmployeeData[[#This Row],[Hire Date]],TODAY())</f>
        <v>2.8555555555555556</v>
      </c>
      <c r="J17" t="str">
        <f>VLOOKUP(EmployeeData[[#This Row],[Perf_Score]],Lookup_Performance!$A$2:$C$6,3,TRUE)</f>
        <v>Achieving</v>
      </c>
      <c r="K17" s="22">
        <f>VLOOKUP(EmployeeData[[#This Row],[Performance Band]],Lookup_Performance!$C$1:$D$6,2,FALSE)</f>
        <v>0.05</v>
      </c>
      <c r="L17" s="13">
        <f>EmployeeData[[#This Row],[Salary]]*EmployeeData[[#This Row],[Bonus Percent]]</f>
        <v>3264.5</v>
      </c>
    </row>
    <row r="18" spans="1:12" x14ac:dyDescent="0.3">
      <c r="A18" t="s">
        <v>33</v>
      </c>
      <c r="B18" s="2" t="s">
        <v>202</v>
      </c>
      <c r="C18" t="s">
        <v>7</v>
      </c>
      <c r="D18" s="10">
        <v>42337</v>
      </c>
      <c r="E18" s="12">
        <v>105765</v>
      </c>
      <c r="F18">
        <v>42</v>
      </c>
      <c r="G18" t="s">
        <v>24</v>
      </c>
      <c r="H18" t="str">
        <f>VLOOKUP(EmployeeData[[#This Row],[Dept Code]],Lookup_Departments!$A$1:$B$7,2,FALSE)</f>
        <v>Information Technology</v>
      </c>
      <c r="I18" s="7">
        <f ca="1">YEARFRAC(EmployeeData[[#This Row],[Hire Date]],TODAY())</f>
        <v>10.608333333333333</v>
      </c>
      <c r="J18" t="str">
        <f>VLOOKUP(EmployeeData[[#This Row],[Perf_Score]],Lookup_Performance!$A$2:$C$6,3,TRUE)</f>
        <v>Needs Improvement</v>
      </c>
      <c r="K18" s="22">
        <f>VLOOKUP(EmployeeData[[#This Row],[Performance Band]],Lookup_Performance!$C$1:$D$6,2,FALSE)</f>
        <v>0</v>
      </c>
      <c r="L18" s="13">
        <f>EmployeeData[[#This Row],[Salary]]*EmployeeData[[#This Row],[Bonus Percent]]</f>
        <v>0</v>
      </c>
    </row>
    <row r="19" spans="1:12" x14ac:dyDescent="0.3">
      <c r="A19" t="s">
        <v>34</v>
      </c>
      <c r="B19" s="3" t="s">
        <v>203</v>
      </c>
      <c r="C19" t="s">
        <v>23</v>
      </c>
      <c r="D19" s="10">
        <v>42899</v>
      </c>
      <c r="E19" s="12">
        <v>102921</v>
      </c>
      <c r="F19">
        <v>49</v>
      </c>
      <c r="G19" t="s">
        <v>24</v>
      </c>
      <c r="H19" t="str">
        <f>VLOOKUP(EmployeeData[[#This Row],[Dept Code]],Lookup_Departments!$A$1:$B$7,2,FALSE)</f>
        <v>Sales</v>
      </c>
      <c r="I19" s="7">
        <f ca="1">YEARFRAC(EmployeeData[[#This Row],[Hire Date]],TODAY())</f>
        <v>9.0694444444444446</v>
      </c>
      <c r="J19" t="str">
        <f>VLOOKUP(EmployeeData[[#This Row],[Perf_Score]],Lookup_Performance!$A$2:$C$6,3,TRUE)</f>
        <v>Needs Improvement</v>
      </c>
      <c r="K19" s="22">
        <f>VLOOKUP(EmployeeData[[#This Row],[Performance Band]],Lookup_Performance!$C$1:$D$6,2,FALSE)</f>
        <v>0</v>
      </c>
      <c r="L19" s="13">
        <f>EmployeeData[[#This Row],[Salary]]*EmployeeData[[#This Row],[Bonus Percent]]</f>
        <v>0</v>
      </c>
    </row>
    <row r="20" spans="1:12" x14ac:dyDescent="0.3">
      <c r="A20" t="s">
        <v>35</v>
      </c>
      <c r="B20" s="2" t="s">
        <v>204</v>
      </c>
      <c r="C20" t="s">
        <v>9</v>
      </c>
      <c r="D20" s="10">
        <v>43235</v>
      </c>
      <c r="E20" s="12">
        <v>73984</v>
      </c>
      <c r="F20">
        <v>93</v>
      </c>
      <c r="G20" t="s">
        <v>24</v>
      </c>
      <c r="H20" t="str">
        <f>VLOOKUP(EmployeeData[[#This Row],[Dept Code]],Lookup_Departments!$A$1:$B$7,2,FALSE)</f>
        <v>Marketing</v>
      </c>
      <c r="I20" s="7">
        <f ca="1">YEARFRAC(EmployeeData[[#This Row],[Hire Date]],TODAY())</f>
        <v>8.1472222222222221</v>
      </c>
      <c r="J20" t="str">
        <f>VLOOKUP(EmployeeData[[#This Row],[Perf_Score]],Lookup_Performance!$A$2:$C$6,3,TRUE)</f>
        <v>Exceeding</v>
      </c>
      <c r="K20" s="22">
        <f>VLOOKUP(EmployeeData[[#This Row],[Performance Band]],Lookup_Performance!$C$1:$D$6,2,FALSE)</f>
        <v>0.08</v>
      </c>
      <c r="L20" s="13">
        <f>EmployeeData[[#This Row],[Salary]]*EmployeeData[[#This Row],[Bonus Percent]]</f>
        <v>5918.72</v>
      </c>
    </row>
    <row r="21" spans="1:12" x14ac:dyDescent="0.3">
      <c r="A21" t="s">
        <v>36</v>
      </c>
      <c r="B21" s="3" t="s">
        <v>205</v>
      </c>
      <c r="C21" t="s">
        <v>7</v>
      </c>
      <c r="D21" s="10">
        <v>42575</v>
      </c>
      <c r="E21" s="12">
        <v>82713.428571428594</v>
      </c>
      <c r="F21">
        <v>75</v>
      </c>
      <c r="G21" t="s">
        <v>24</v>
      </c>
      <c r="H21" t="str">
        <f>VLOOKUP(EmployeeData[[#This Row],[Dept Code]],Lookup_Departments!$A$1:$B$7,2,FALSE)</f>
        <v>Information Technology</v>
      </c>
      <c r="I21" s="7">
        <f ca="1">YEARFRAC(EmployeeData[[#This Row],[Hire Date]],TODAY())</f>
        <v>9.9555555555555557</v>
      </c>
      <c r="J21" t="str">
        <f>VLOOKUP(EmployeeData[[#This Row],[Perf_Score]],Lookup_Performance!$A$2:$C$6,3,TRUE)</f>
        <v>Achieving</v>
      </c>
      <c r="K21" s="22">
        <f>VLOOKUP(EmployeeData[[#This Row],[Performance Band]],Lookup_Performance!$C$1:$D$6,2,FALSE)</f>
        <v>0.05</v>
      </c>
      <c r="L21" s="13">
        <f>EmployeeData[[#This Row],[Salary]]*EmployeeData[[#This Row],[Bonus Percent]]</f>
        <v>4135.6714285714297</v>
      </c>
    </row>
    <row r="22" spans="1:12" x14ac:dyDescent="0.3">
      <c r="A22" t="s">
        <v>37</v>
      </c>
      <c r="B22" s="2" t="s">
        <v>206</v>
      </c>
      <c r="C22" t="s">
        <v>12</v>
      </c>
      <c r="D22" s="10">
        <v>42928</v>
      </c>
      <c r="E22" s="12">
        <v>118527</v>
      </c>
      <c r="F22">
        <v>50</v>
      </c>
      <c r="G22" t="s">
        <v>24</v>
      </c>
      <c r="H22" t="str">
        <f>VLOOKUP(EmployeeData[[#This Row],[Dept Code]],Lookup_Departments!$A$1:$B$7,2,FALSE)</f>
        <v>Finance</v>
      </c>
      <c r="I22" s="7">
        <f ca="1">YEARFRAC(EmployeeData[[#This Row],[Hire Date]],TODAY())</f>
        <v>8.9888888888888889</v>
      </c>
      <c r="J22" t="str">
        <f>VLOOKUP(EmployeeData[[#This Row],[Perf_Score]],Lookup_Performance!$A$2:$C$6,3,TRUE)</f>
        <v>Developing</v>
      </c>
      <c r="K22" s="22">
        <f>VLOOKUP(EmployeeData[[#This Row],[Performance Band]],Lookup_Performance!$C$1:$D$6,2,FALSE)</f>
        <v>0.02</v>
      </c>
      <c r="L22" s="13">
        <f>EmployeeData[[#This Row],[Salary]]*EmployeeData[[#This Row],[Bonus Percent]]</f>
        <v>2370.54</v>
      </c>
    </row>
    <row r="23" spans="1:12" x14ac:dyDescent="0.3">
      <c r="A23" t="s">
        <v>38</v>
      </c>
      <c r="B23" s="3" t="s">
        <v>188</v>
      </c>
      <c r="C23" t="s">
        <v>9</v>
      </c>
      <c r="D23" s="10">
        <v>44353</v>
      </c>
      <c r="E23" s="12">
        <v>107871</v>
      </c>
      <c r="F23">
        <v>88</v>
      </c>
      <c r="G23" t="s">
        <v>24</v>
      </c>
      <c r="H23" t="str">
        <f>VLOOKUP(EmployeeData[[#This Row],[Dept Code]],Lookup_Departments!$A$1:$B$7,2,FALSE)</f>
        <v>Marketing</v>
      </c>
      <c r="I23" s="7">
        <f ca="1">YEARFRAC(EmployeeData[[#This Row],[Hire Date]],TODAY())</f>
        <v>5.0888888888888886</v>
      </c>
      <c r="J23" t="str">
        <f>VLOOKUP(EmployeeData[[#This Row],[Perf_Score]],Lookup_Performance!$A$2:$C$6,3,TRUE)</f>
        <v>Exceeding</v>
      </c>
      <c r="K23" s="22">
        <f>VLOOKUP(EmployeeData[[#This Row],[Performance Band]],Lookup_Performance!$C$1:$D$6,2,FALSE)</f>
        <v>0.08</v>
      </c>
      <c r="L23" s="13">
        <f>EmployeeData[[#This Row],[Salary]]*EmployeeData[[#This Row],[Bonus Percent]]</f>
        <v>8629.68</v>
      </c>
    </row>
    <row r="24" spans="1:12" x14ac:dyDescent="0.3">
      <c r="A24" t="s">
        <v>39</v>
      </c>
      <c r="B24" s="2" t="s">
        <v>207</v>
      </c>
      <c r="C24" t="s">
        <v>7</v>
      </c>
      <c r="D24" s="10">
        <v>44874</v>
      </c>
      <c r="E24" s="12">
        <v>93956</v>
      </c>
      <c r="F24">
        <v>50</v>
      </c>
      <c r="G24" t="s">
        <v>15</v>
      </c>
      <c r="H24" t="str">
        <f>VLOOKUP(EmployeeData[[#This Row],[Dept Code]],Lookup_Departments!$A$1:$B$7,2,FALSE)</f>
        <v>Information Technology</v>
      </c>
      <c r="I24" s="7">
        <f ca="1">YEARFRAC(EmployeeData[[#This Row],[Hire Date]],TODAY())</f>
        <v>3.6638888888888888</v>
      </c>
      <c r="J24" t="str">
        <f>VLOOKUP(EmployeeData[[#This Row],[Perf_Score]],Lookup_Performance!$A$2:$C$6,3,TRUE)</f>
        <v>Developing</v>
      </c>
      <c r="K24" s="22">
        <f>VLOOKUP(EmployeeData[[#This Row],[Performance Band]],Lookup_Performance!$C$1:$D$6,2,FALSE)</f>
        <v>0.02</v>
      </c>
      <c r="L24" s="13">
        <f>EmployeeData[[#This Row],[Salary]]*EmployeeData[[#This Row],[Bonus Percent]]</f>
        <v>1879.1200000000001</v>
      </c>
    </row>
    <row r="25" spans="1:12" x14ac:dyDescent="0.3">
      <c r="A25" t="s">
        <v>40</v>
      </c>
      <c r="B25" s="3" t="s">
        <v>208</v>
      </c>
      <c r="C25" t="s">
        <v>12</v>
      </c>
      <c r="D25" s="10">
        <v>42565</v>
      </c>
      <c r="E25" s="12">
        <v>100851</v>
      </c>
      <c r="F25">
        <v>64</v>
      </c>
      <c r="G25" t="s">
        <v>24</v>
      </c>
      <c r="H25" t="str">
        <f>VLOOKUP(EmployeeData[[#This Row],[Dept Code]],Lookup_Departments!$A$1:$B$7,2,FALSE)</f>
        <v>Finance</v>
      </c>
      <c r="I25" s="7">
        <f ca="1">YEARFRAC(EmployeeData[[#This Row],[Hire Date]],TODAY())</f>
        <v>9.9833333333333325</v>
      </c>
      <c r="J25" t="str">
        <f>VLOOKUP(EmployeeData[[#This Row],[Perf_Score]],Lookup_Performance!$A$2:$C$6,3,TRUE)</f>
        <v>Developing</v>
      </c>
      <c r="K25" s="22">
        <f>VLOOKUP(EmployeeData[[#This Row],[Performance Band]],Lookup_Performance!$C$1:$D$6,2,FALSE)</f>
        <v>0.02</v>
      </c>
      <c r="L25" s="13">
        <f>EmployeeData[[#This Row],[Salary]]*EmployeeData[[#This Row],[Bonus Percent]]</f>
        <v>2017.02</v>
      </c>
    </row>
    <row r="26" spans="1:12" x14ac:dyDescent="0.3">
      <c r="A26" t="s">
        <v>41</v>
      </c>
      <c r="B26" s="2" t="s">
        <v>209</v>
      </c>
      <c r="C26" t="s">
        <v>23</v>
      </c>
      <c r="D26" s="10">
        <v>44728</v>
      </c>
      <c r="E26" s="12">
        <v>68655</v>
      </c>
      <c r="F26">
        <v>32</v>
      </c>
      <c r="G26" t="s">
        <v>24</v>
      </c>
      <c r="H26" t="str">
        <f>VLOOKUP(EmployeeData[[#This Row],[Dept Code]],Lookup_Departments!$A$1:$B$7,2,FALSE)</f>
        <v>Sales</v>
      </c>
      <c r="I26" s="7">
        <f ca="1">YEARFRAC(EmployeeData[[#This Row],[Hire Date]],TODAY())</f>
        <v>4.0611111111111109</v>
      </c>
      <c r="J26" t="str">
        <f>VLOOKUP(EmployeeData[[#This Row],[Perf_Score]],Lookup_Performance!$A$2:$C$6,3,TRUE)</f>
        <v>Needs Improvement</v>
      </c>
      <c r="K26" s="22">
        <f>VLOOKUP(EmployeeData[[#This Row],[Performance Band]],Lookup_Performance!$C$1:$D$6,2,FALSE)</f>
        <v>0</v>
      </c>
      <c r="L26" s="13">
        <f>EmployeeData[[#This Row],[Salary]]*EmployeeData[[#This Row],[Bonus Percent]]</f>
        <v>0</v>
      </c>
    </row>
    <row r="27" spans="1:12" x14ac:dyDescent="0.3">
      <c r="A27" t="s">
        <v>42</v>
      </c>
      <c r="B27" s="3" t="s">
        <v>28</v>
      </c>
      <c r="C27" t="s">
        <v>23</v>
      </c>
      <c r="D27" s="10">
        <v>45134</v>
      </c>
      <c r="E27" s="12">
        <v>81205</v>
      </c>
      <c r="F27">
        <v>59</v>
      </c>
      <c r="G27" t="s">
        <v>24</v>
      </c>
      <c r="H27" t="str">
        <f>VLOOKUP(EmployeeData[[#This Row],[Dept Code]],Lookup_Departments!$A$1:$B$7,2,FALSE)</f>
        <v>Sales</v>
      </c>
      <c r="I27" s="7">
        <f ca="1">YEARFRAC(EmployeeData[[#This Row],[Hire Date]],TODAY())</f>
        <v>2.9472222222222224</v>
      </c>
      <c r="J27" t="str">
        <f>VLOOKUP(EmployeeData[[#This Row],[Perf_Score]],Lookup_Performance!$A$2:$C$6,3,TRUE)</f>
        <v>Developing</v>
      </c>
      <c r="K27" s="22">
        <f>VLOOKUP(EmployeeData[[#This Row],[Performance Band]],Lookup_Performance!$C$1:$D$6,2,FALSE)</f>
        <v>0.02</v>
      </c>
      <c r="L27" s="13">
        <f>EmployeeData[[#This Row],[Salary]]*EmployeeData[[#This Row],[Bonus Percent]]</f>
        <v>1624.1000000000001</v>
      </c>
    </row>
    <row r="28" spans="1:12" x14ac:dyDescent="0.3">
      <c r="A28" t="s">
        <v>43</v>
      </c>
      <c r="B28" s="2" t="s">
        <v>193</v>
      </c>
      <c r="C28" t="s">
        <v>23</v>
      </c>
      <c r="D28" s="10">
        <v>43732</v>
      </c>
      <c r="E28" s="12">
        <v>77610</v>
      </c>
      <c r="F28">
        <v>88</v>
      </c>
      <c r="G28" t="s">
        <v>24</v>
      </c>
      <c r="H28" t="str">
        <f>VLOOKUP(EmployeeData[[#This Row],[Dept Code]],Lookup_Departments!$A$1:$B$7,2,FALSE)</f>
        <v>Sales</v>
      </c>
      <c r="I28" s="7">
        <f ca="1">YEARFRAC(EmployeeData[[#This Row],[Hire Date]],TODAY())</f>
        <v>6.7888888888888888</v>
      </c>
      <c r="J28" t="str">
        <f>VLOOKUP(EmployeeData[[#This Row],[Perf_Score]],Lookup_Performance!$A$2:$C$6,3,TRUE)</f>
        <v>Exceeding</v>
      </c>
      <c r="K28" s="22">
        <f>VLOOKUP(EmployeeData[[#This Row],[Performance Band]],Lookup_Performance!$C$1:$D$6,2,FALSE)</f>
        <v>0.08</v>
      </c>
      <c r="L28" s="13">
        <f>EmployeeData[[#This Row],[Salary]]*EmployeeData[[#This Row],[Bonus Percent]]</f>
        <v>6208.8</v>
      </c>
    </row>
    <row r="29" spans="1:12" x14ac:dyDescent="0.3">
      <c r="A29" t="s">
        <v>44</v>
      </c>
      <c r="B29" s="3" t="s">
        <v>201</v>
      </c>
      <c r="C29" t="s">
        <v>7</v>
      </c>
      <c r="D29" s="10">
        <v>44765</v>
      </c>
      <c r="E29" s="12">
        <v>50873</v>
      </c>
      <c r="F29">
        <v>90</v>
      </c>
      <c r="G29" t="s">
        <v>24</v>
      </c>
      <c r="H29" t="str">
        <f>VLOOKUP(EmployeeData[[#This Row],[Dept Code]],Lookup_Departments!$A$1:$B$7,2,FALSE)</f>
        <v>Information Technology</v>
      </c>
      <c r="I29" s="7">
        <f ca="1">YEARFRAC(EmployeeData[[#This Row],[Hire Date]],TODAY())</f>
        <v>3.9583333333333335</v>
      </c>
      <c r="J29" t="str">
        <f>VLOOKUP(EmployeeData[[#This Row],[Perf_Score]],Lookup_Performance!$A$2:$C$6,3,TRUE)</f>
        <v>Exceeding</v>
      </c>
      <c r="K29" s="22">
        <f>VLOOKUP(EmployeeData[[#This Row],[Performance Band]],Lookup_Performance!$C$1:$D$6,2,FALSE)</f>
        <v>0.08</v>
      </c>
      <c r="L29" s="13">
        <f>EmployeeData[[#This Row],[Salary]]*EmployeeData[[#This Row],[Bonus Percent]]</f>
        <v>4069.84</v>
      </c>
    </row>
    <row r="30" spans="1:12" x14ac:dyDescent="0.3">
      <c r="A30" t="s">
        <v>45</v>
      </c>
      <c r="B30" s="2" t="s">
        <v>210</v>
      </c>
      <c r="C30" t="s">
        <v>12</v>
      </c>
      <c r="D30" s="10">
        <v>41412</v>
      </c>
      <c r="E30" s="12">
        <v>85312</v>
      </c>
      <c r="F30">
        <v>66</v>
      </c>
      <c r="G30" t="s">
        <v>24</v>
      </c>
      <c r="H30" t="str">
        <f>VLOOKUP(EmployeeData[[#This Row],[Dept Code]],Lookup_Departments!$A$1:$B$7,2,FALSE)</f>
        <v>Finance</v>
      </c>
      <c r="I30" s="7">
        <f ca="1">YEARFRAC(EmployeeData[[#This Row],[Hire Date]],TODAY())</f>
        <v>13.138888888888889</v>
      </c>
      <c r="J30" t="str">
        <f>VLOOKUP(EmployeeData[[#This Row],[Perf_Score]],Lookup_Performance!$A$2:$C$6,3,TRUE)</f>
        <v>Developing</v>
      </c>
      <c r="K30" s="22">
        <f>VLOOKUP(EmployeeData[[#This Row],[Performance Band]],Lookup_Performance!$C$1:$D$6,2,FALSE)</f>
        <v>0.02</v>
      </c>
      <c r="L30" s="13">
        <f>EmployeeData[[#This Row],[Salary]]*EmployeeData[[#This Row],[Bonus Percent]]</f>
        <v>1706.24</v>
      </c>
    </row>
    <row r="31" spans="1:12" x14ac:dyDescent="0.3">
      <c r="A31" t="s">
        <v>46</v>
      </c>
      <c r="B31" s="3" t="s">
        <v>211</v>
      </c>
      <c r="C31" t="s">
        <v>23</v>
      </c>
      <c r="D31" s="10">
        <v>42202</v>
      </c>
      <c r="E31" s="12">
        <v>82713.428571428594</v>
      </c>
      <c r="F31">
        <v>68</v>
      </c>
      <c r="G31" t="s">
        <v>24</v>
      </c>
      <c r="H31" t="str">
        <f>VLOOKUP(EmployeeData[[#This Row],[Dept Code]],Lookup_Departments!$A$1:$B$7,2,FALSE)</f>
        <v>Sales</v>
      </c>
      <c r="I31" s="7">
        <f ca="1">YEARFRAC(EmployeeData[[#This Row],[Hire Date]],TODAY())</f>
        <v>10.975</v>
      </c>
      <c r="J31" t="str">
        <f>VLOOKUP(EmployeeData[[#This Row],[Perf_Score]],Lookup_Performance!$A$2:$C$6,3,TRUE)</f>
        <v>Developing</v>
      </c>
      <c r="K31" s="22">
        <f>VLOOKUP(EmployeeData[[#This Row],[Performance Band]],Lookup_Performance!$C$1:$D$6,2,FALSE)</f>
        <v>0.02</v>
      </c>
      <c r="L31" s="13">
        <f>EmployeeData[[#This Row],[Salary]]*EmployeeData[[#This Row],[Bonus Percent]]</f>
        <v>1654.2685714285719</v>
      </c>
    </row>
    <row r="32" spans="1:12" x14ac:dyDescent="0.3">
      <c r="A32" t="s">
        <v>47</v>
      </c>
      <c r="B32" s="2" t="s">
        <v>212</v>
      </c>
      <c r="C32" s="9" t="s">
        <v>17</v>
      </c>
      <c r="D32" s="10">
        <v>38579</v>
      </c>
      <c r="E32" s="12">
        <v>97055</v>
      </c>
      <c r="F32">
        <v>80</v>
      </c>
      <c r="G32" t="s">
        <v>24</v>
      </c>
      <c r="H32" t="str">
        <f>VLOOKUP(EmployeeData[[#This Row],[Dept Code]],Lookup_Departments!$A$1:$B$7,2,FALSE)</f>
        <v>Operations</v>
      </c>
      <c r="I32" s="7">
        <f ca="1">YEARFRAC(EmployeeData[[#This Row],[Hire Date]],TODAY())</f>
        <v>20.897222222222222</v>
      </c>
      <c r="J32" t="str">
        <f>VLOOKUP(EmployeeData[[#This Row],[Perf_Score]],Lookup_Performance!$A$2:$C$6,3,TRUE)</f>
        <v>Achieving</v>
      </c>
      <c r="K32" s="22">
        <f>VLOOKUP(EmployeeData[[#This Row],[Performance Band]],Lookup_Performance!$C$1:$D$6,2,FALSE)</f>
        <v>0.05</v>
      </c>
      <c r="L32" s="13">
        <f>EmployeeData[[#This Row],[Salary]]*EmployeeData[[#This Row],[Bonus Percent]]</f>
        <v>4852.75</v>
      </c>
    </row>
    <row r="33" spans="1:12" x14ac:dyDescent="0.3">
      <c r="A33" t="s">
        <v>48</v>
      </c>
      <c r="B33" s="3" t="s">
        <v>213</v>
      </c>
      <c r="C33" t="s">
        <v>7</v>
      </c>
      <c r="D33" s="10">
        <v>45195</v>
      </c>
      <c r="E33" s="12">
        <v>66069</v>
      </c>
      <c r="F33">
        <v>72</v>
      </c>
      <c r="G33" t="s">
        <v>24</v>
      </c>
      <c r="H33" t="str">
        <f>VLOOKUP(EmployeeData[[#This Row],[Dept Code]],Lookup_Departments!$A$1:$B$7,2,FALSE)</f>
        <v>Information Technology</v>
      </c>
      <c r="I33" s="7">
        <f ca="1">YEARFRAC(EmployeeData[[#This Row],[Hire Date]],TODAY())</f>
        <v>2.7833333333333332</v>
      </c>
      <c r="J33" t="str">
        <f>VLOOKUP(EmployeeData[[#This Row],[Perf_Score]],Lookup_Performance!$A$2:$C$6,3,TRUE)</f>
        <v>Achieving</v>
      </c>
      <c r="K33" s="22">
        <f>VLOOKUP(EmployeeData[[#This Row],[Performance Band]],Lookup_Performance!$C$1:$D$6,2,FALSE)</f>
        <v>0.05</v>
      </c>
      <c r="L33" s="13">
        <f>EmployeeData[[#This Row],[Salary]]*EmployeeData[[#This Row],[Bonus Percent]]</f>
        <v>3303.4500000000003</v>
      </c>
    </row>
    <row r="34" spans="1:12" x14ac:dyDescent="0.3">
      <c r="A34" t="s">
        <v>49</v>
      </c>
      <c r="B34" s="2" t="s">
        <v>214</v>
      </c>
      <c r="C34" t="s">
        <v>7</v>
      </c>
      <c r="D34" s="10">
        <v>40348</v>
      </c>
      <c r="E34" s="12">
        <v>90157</v>
      </c>
      <c r="F34">
        <v>58</v>
      </c>
      <c r="G34" t="s">
        <v>24</v>
      </c>
      <c r="H34" t="str">
        <f>VLOOKUP(EmployeeData[[#This Row],[Dept Code]],Lookup_Departments!$A$1:$B$7,2,FALSE)</f>
        <v>Information Technology</v>
      </c>
      <c r="I34" s="7">
        <f ca="1">YEARFRAC(EmployeeData[[#This Row],[Hire Date]],TODAY())</f>
        <v>16.052777777777777</v>
      </c>
      <c r="J34" t="str">
        <f>VLOOKUP(EmployeeData[[#This Row],[Perf_Score]],Lookup_Performance!$A$2:$C$6,3,TRUE)</f>
        <v>Developing</v>
      </c>
      <c r="K34" s="22">
        <f>VLOOKUP(EmployeeData[[#This Row],[Performance Band]],Lookup_Performance!$C$1:$D$6,2,FALSE)</f>
        <v>0.02</v>
      </c>
      <c r="L34" s="13">
        <f>EmployeeData[[#This Row],[Salary]]*EmployeeData[[#This Row],[Bonus Percent]]</f>
        <v>1803.14</v>
      </c>
    </row>
    <row r="35" spans="1:12" x14ac:dyDescent="0.3">
      <c r="A35" t="s">
        <v>50</v>
      </c>
      <c r="B35" s="3" t="s">
        <v>215</v>
      </c>
      <c r="C35" t="s">
        <v>51</v>
      </c>
      <c r="D35" s="10">
        <v>44578</v>
      </c>
      <c r="E35" s="12">
        <v>59899</v>
      </c>
      <c r="F35">
        <v>78</v>
      </c>
      <c r="G35" t="s">
        <v>24</v>
      </c>
      <c r="H35" t="str">
        <f>VLOOKUP(EmployeeData[[#This Row],[Dept Code]],Lookup_Departments!$A$1:$B$7,2,FALSE)</f>
        <v>Human Resources</v>
      </c>
      <c r="I35" s="7">
        <f ca="1">YEARFRAC(EmployeeData[[#This Row],[Hire Date]],TODAY())</f>
        <v>4.4749999999999996</v>
      </c>
      <c r="J35" t="str">
        <f>VLOOKUP(EmployeeData[[#This Row],[Perf_Score]],Lookup_Performance!$A$2:$C$6,3,TRUE)</f>
        <v>Achieving</v>
      </c>
      <c r="K35" s="22">
        <f>VLOOKUP(EmployeeData[[#This Row],[Performance Band]],Lookup_Performance!$C$1:$D$6,2,FALSE)</f>
        <v>0.05</v>
      </c>
      <c r="L35" s="13">
        <f>EmployeeData[[#This Row],[Salary]]*EmployeeData[[#This Row],[Bonus Percent]]</f>
        <v>2994.9500000000003</v>
      </c>
    </row>
    <row r="36" spans="1:12" x14ac:dyDescent="0.3">
      <c r="A36" t="s">
        <v>52</v>
      </c>
      <c r="B36" s="2" t="s">
        <v>216</v>
      </c>
      <c r="C36" t="s">
        <v>12</v>
      </c>
      <c r="D36" s="10">
        <v>37819</v>
      </c>
      <c r="E36" s="12">
        <v>113389</v>
      </c>
      <c r="F36">
        <v>30</v>
      </c>
      <c r="G36" t="s">
        <v>24</v>
      </c>
      <c r="H36" t="str">
        <f>VLOOKUP(EmployeeData[[#This Row],[Dept Code]],Lookup_Departments!$A$1:$B$7,2,FALSE)</f>
        <v>Finance</v>
      </c>
      <c r="I36" s="7">
        <f ca="1">YEARFRAC(EmployeeData[[#This Row],[Hire Date]],TODAY())</f>
        <v>22.975000000000001</v>
      </c>
      <c r="J36" t="str">
        <f>VLOOKUP(EmployeeData[[#This Row],[Perf_Score]],Lookup_Performance!$A$2:$C$6,3,TRUE)</f>
        <v>Needs Improvement</v>
      </c>
      <c r="K36" s="22">
        <f>VLOOKUP(EmployeeData[[#This Row],[Performance Band]],Lookup_Performance!$C$1:$D$6,2,FALSE)</f>
        <v>0</v>
      </c>
      <c r="L36" s="13">
        <f>EmployeeData[[#This Row],[Salary]]*EmployeeData[[#This Row],[Bonus Percent]]</f>
        <v>0</v>
      </c>
    </row>
    <row r="37" spans="1:12" x14ac:dyDescent="0.3">
      <c r="A37" t="s">
        <v>53</v>
      </c>
      <c r="B37" s="3" t="s">
        <v>6</v>
      </c>
      <c r="C37" t="s">
        <v>7</v>
      </c>
      <c r="D37" s="10">
        <v>37149</v>
      </c>
      <c r="E37" s="12">
        <v>102691</v>
      </c>
      <c r="F37">
        <v>52</v>
      </c>
      <c r="G37" t="s">
        <v>24</v>
      </c>
      <c r="H37" t="str">
        <f>VLOOKUP(EmployeeData[[#This Row],[Dept Code]],Lookup_Departments!$A$1:$B$7,2,FALSE)</f>
        <v>Information Technology</v>
      </c>
      <c r="I37" s="7">
        <f ca="1">YEARFRAC(EmployeeData[[#This Row],[Hire Date]],TODAY())</f>
        <v>24.81388888888889</v>
      </c>
      <c r="J37" t="str">
        <f>VLOOKUP(EmployeeData[[#This Row],[Perf_Score]],Lookup_Performance!$A$2:$C$6,3,TRUE)</f>
        <v>Developing</v>
      </c>
      <c r="K37" s="22">
        <f>VLOOKUP(EmployeeData[[#This Row],[Performance Band]],Lookup_Performance!$C$1:$D$6,2,FALSE)</f>
        <v>0.02</v>
      </c>
      <c r="L37" s="13">
        <f>EmployeeData[[#This Row],[Salary]]*EmployeeData[[#This Row],[Bonus Percent]]</f>
        <v>2053.8200000000002</v>
      </c>
    </row>
    <row r="38" spans="1:12" x14ac:dyDescent="0.3">
      <c r="A38" t="s">
        <v>54</v>
      </c>
      <c r="B38" s="2" t="s">
        <v>193</v>
      </c>
      <c r="C38" t="s">
        <v>17</v>
      </c>
      <c r="D38" s="10">
        <v>37855</v>
      </c>
      <c r="E38" s="12">
        <v>111845</v>
      </c>
      <c r="F38">
        <v>98</v>
      </c>
      <c r="G38" t="s">
        <v>24</v>
      </c>
      <c r="H38" t="str">
        <f>VLOOKUP(EmployeeData[[#This Row],[Dept Code]],Lookup_Departments!$A$1:$B$7,2,FALSE)</f>
        <v>Operations</v>
      </c>
      <c r="I38" s="7">
        <f ca="1">YEARFRAC(EmployeeData[[#This Row],[Hire Date]],TODAY())</f>
        <v>22.877777777777776</v>
      </c>
      <c r="J38" t="str">
        <f>VLOOKUP(EmployeeData[[#This Row],[Perf_Score]],Lookup_Performance!$A$2:$C$6,3,TRUE)</f>
        <v>Outstanding</v>
      </c>
      <c r="K38" s="22">
        <f>VLOOKUP(EmployeeData[[#This Row],[Performance Band]],Lookup_Performance!$C$1:$D$6,2,FALSE)</f>
        <v>0.12</v>
      </c>
      <c r="L38" s="13">
        <f>EmployeeData[[#This Row],[Salary]]*EmployeeData[[#This Row],[Bonus Percent]]</f>
        <v>13421.4</v>
      </c>
    </row>
    <row r="39" spans="1:12" x14ac:dyDescent="0.3">
      <c r="A39" t="s">
        <v>55</v>
      </c>
      <c r="B39" s="3" t="s">
        <v>217</v>
      </c>
      <c r="C39" t="s">
        <v>23</v>
      </c>
      <c r="D39" s="10">
        <v>44741</v>
      </c>
      <c r="E39" s="12">
        <v>69219</v>
      </c>
      <c r="F39">
        <v>93</v>
      </c>
      <c r="G39" t="s">
        <v>24</v>
      </c>
      <c r="H39" t="str">
        <f>VLOOKUP(EmployeeData[[#This Row],[Dept Code]],Lookup_Departments!$A$1:$B$7,2,FALSE)</f>
        <v>Sales</v>
      </c>
      <c r="I39" s="7">
        <f ca="1">YEARFRAC(EmployeeData[[#This Row],[Hire Date]],TODAY())</f>
        <v>4.0250000000000004</v>
      </c>
      <c r="J39" t="str">
        <f>VLOOKUP(EmployeeData[[#This Row],[Perf_Score]],Lookup_Performance!$A$2:$C$6,3,TRUE)</f>
        <v>Exceeding</v>
      </c>
      <c r="K39" s="22">
        <f>VLOOKUP(EmployeeData[[#This Row],[Performance Band]],Lookup_Performance!$C$1:$D$6,2,FALSE)</f>
        <v>0.08</v>
      </c>
      <c r="L39" s="13">
        <f>EmployeeData[[#This Row],[Salary]]*EmployeeData[[#This Row],[Bonus Percent]]</f>
        <v>5537.52</v>
      </c>
    </row>
    <row r="40" spans="1:12" x14ac:dyDescent="0.3">
      <c r="A40" t="s">
        <v>56</v>
      </c>
      <c r="B40" s="2" t="s">
        <v>218</v>
      </c>
      <c r="C40" t="s">
        <v>12</v>
      </c>
      <c r="D40" s="10">
        <v>43949</v>
      </c>
      <c r="E40" s="12">
        <v>82713.428571428594</v>
      </c>
      <c r="F40">
        <v>80</v>
      </c>
      <c r="G40" t="s">
        <v>15</v>
      </c>
      <c r="H40" t="str">
        <f>VLOOKUP(EmployeeData[[#This Row],[Dept Code]],Lookup_Departments!$A$1:$B$7,2,FALSE)</f>
        <v>Finance</v>
      </c>
      <c r="I40" s="7">
        <f ca="1">YEARFRAC(EmployeeData[[#This Row],[Hire Date]],TODAY())</f>
        <v>6.1944444444444446</v>
      </c>
      <c r="J40" t="str">
        <f>VLOOKUP(EmployeeData[[#This Row],[Perf_Score]],Lookup_Performance!$A$2:$C$6,3,TRUE)</f>
        <v>Achieving</v>
      </c>
      <c r="K40" s="22">
        <f>VLOOKUP(EmployeeData[[#This Row],[Performance Band]],Lookup_Performance!$C$1:$D$6,2,FALSE)</f>
        <v>0.05</v>
      </c>
      <c r="L40" s="13">
        <f>EmployeeData[[#This Row],[Salary]]*EmployeeData[[#This Row],[Bonus Percent]]</f>
        <v>4135.6714285714297</v>
      </c>
    </row>
    <row r="41" spans="1:12" x14ac:dyDescent="0.3">
      <c r="A41" t="s">
        <v>57</v>
      </c>
      <c r="B41" s="3" t="s">
        <v>219</v>
      </c>
      <c r="C41" t="s">
        <v>17</v>
      </c>
      <c r="D41" s="10">
        <v>42987</v>
      </c>
      <c r="E41" s="12">
        <v>57514</v>
      </c>
      <c r="F41">
        <v>68</v>
      </c>
      <c r="G41" t="s">
        <v>24</v>
      </c>
      <c r="H41" t="str">
        <f>VLOOKUP(EmployeeData[[#This Row],[Dept Code]],Lookup_Departments!$A$1:$B$7,2,FALSE)</f>
        <v>Operations</v>
      </c>
      <c r="I41" s="7">
        <f ca="1">YEARFRAC(EmployeeData[[#This Row],[Hire Date]],TODAY())</f>
        <v>8.8305555555555557</v>
      </c>
      <c r="J41" t="str">
        <f>VLOOKUP(EmployeeData[[#This Row],[Perf_Score]],Lookup_Performance!$A$2:$C$6,3,TRUE)</f>
        <v>Developing</v>
      </c>
      <c r="K41" s="22">
        <f>VLOOKUP(EmployeeData[[#This Row],[Performance Band]],Lookup_Performance!$C$1:$D$6,2,FALSE)</f>
        <v>0.02</v>
      </c>
      <c r="L41" s="13">
        <f>EmployeeData[[#This Row],[Salary]]*EmployeeData[[#This Row],[Bonus Percent]]</f>
        <v>1150.28</v>
      </c>
    </row>
    <row r="42" spans="1:12" x14ac:dyDescent="0.3">
      <c r="A42" t="s">
        <v>58</v>
      </c>
      <c r="B42" s="2" t="s">
        <v>220</v>
      </c>
      <c r="C42" t="s">
        <v>23</v>
      </c>
      <c r="D42" s="10">
        <v>43181</v>
      </c>
      <c r="E42" s="12">
        <v>86245</v>
      </c>
      <c r="F42">
        <v>71</v>
      </c>
      <c r="G42" t="s">
        <v>15</v>
      </c>
      <c r="H42" t="str">
        <f>VLOOKUP(EmployeeData[[#This Row],[Dept Code]],Lookup_Departments!$A$1:$B$7,2,FALSE)</f>
        <v>Sales</v>
      </c>
      <c r="I42" s="7">
        <f ca="1">YEARFRAC(EmployeeData[[#This Row],[Hire Date]],TODAY())</f>
        <v>8.2944444444444443</v>
      </c>
      <c r="J42" t="str">
        <f>VLOOKUP(EmployeeData[[#This Row],[Perf_Score]],Lookup_Performance!$A$2:$C$6,3,TRUE)</f>
        <v>Achieving</v>
      </c>
      <c r="K42" s="22">
        <f>VLOOKUP(EmployeeData[[#This Row],[Performance Band]],Lookup_Performance!$C$1:$D$6,2,FALSE)</f>
        <v>0.05</v>
      </c>
      <c r="L42" s="13">
        <f>EmployeeData[[#This Row],[Salary]]*EmployeeData[[#This Row],[Bonus Percent]]</f>
        <v>4312.25</v>
      </c>
    </row>
    <row r="43" spans="1:12" x14ac:dyDescent="0.3">
      <c r="A43" t="s">
        <v>59</v>
      </c>
      <c r="B43" s="3" t="s">
        <v>221</v>
      </c>
      <c r="C43" t="s">
        <v>23</v>
      </c>
      <c r="D43" s="10">
        <v>44017</v>
      </c>
      <c r="E43" s="12">
        <v>52407</v>
      </c>
      <c r="F43">
        <v>55</v>
      </c>
      <c r="G43" t="s">
        <v>24</v>
      </c>
      <c r="H43" t="str">
        <f>VLOOKUP(EmployeeData[[#This Row],[Dept Code]],Lookup_Departments!$A$1:$B$7,2,FALSE)</f>
        <v>Sales</v>
      </c>
      <c r="I43" s="7">
        <f ca="1">YEARFRAC(EmployeeData[[#This Row],[Hire Date]],TODAY())</f>
        <v>6.0083333333333337</v>
      </c>
      <c r="J43" t="str">
        <f>VLOOKUP(EmployeeData[[#This Row],[Perf_Score]],Lookup_Performance!$A$2:$C$6,3,TRUE)</f>
        <v>Developing</v>
      </c>
      <c r="K43" s="22">
        <f>VLOOKUP(EmployeeData[[#This Row],[Performance Band]],Lookup_Performance!$C$1:$D$6,2,FALSE)</f>
        <v>0.02</v>
      </c>
      <c r="L43" s="13">
        <f>EmployeeData[[#This Row],[Salary]]*EmployeeData[[#This Row],[Bonus Percent]]</f>
        <v>1048.1400000000001</v>
      </c>
    </row>
    <row r="44" spans="1:12" x14ac:dyDescent="0.3">
      <c r="A44" t="s">
        <v>60</v>
      </c>
      <c r="B44" s="2" t="s">
        <v>222</v>
      </c>
      <c r="C44" t="s">
        <v>17</v>
      </c>
      <c r="D44" s="10">
        <v>43549</v>
      </c>
      <c r="E44" s="12">
        <v>66606</v>
      </c>
      <c r="F44">
        <v>93</v>
      </c>
      <c r="G44" t="s">
        <v>61</v>
      </c>
      <c r="H44" t="str">
        <f>VLOOKUP(EmployeeData[[#This Row],[Dept Code]],Lookup_Departments!$A$1:$B$7,2,FALSE)</f>
        <v>Operations</v>
      </c>
      <c r="I44" s="7">
        <f ca="1">YEARFRAC(EmployeeData[[#This Row],[Hire Date]],TODAY())</f>
        <v>7.2861111111111114</v>
      </c>
      <c r="J44" t="str">
        <f>VLOOKUP(EmployeeData[[#This Row],[Perf_Score]],Lookup_Performance!$A$2:$C$6,3,TRUE)</f>
        <v>Exceeding</v>
      </c>
      <c r="K44" s="22">
        <f>VLOOKUP(EmployeeData[[#This Row],[Performance Band]],Lookup_Performance!$C$1:$D$6,2,FALSE)</f>
        <v>0.08</v>
      </c>
      <c r="L44" s="13">
        <f>EmployeeData[[#This Row],[Salary]]*EmployeeData[[#This Row],[Bonus Percent]]</f>
        <v>5328.4800000000005</v>
      </c>
    </row>
    <row r="45" spans="1:12" x14ac:dyDescent="0.3">
      <c r="A45" t="s">
        <v>62</v>
      </c>
      <c r="B45" s="3" t="s">
        <v>223</v>
      </c>
      <c r="C45" t="s">
        <v>7</v>
      </c>
      <c r="D45" s="10">
        <v>43716</v>
      </c>
      <c r="E45" s="12">
        <v>81896</v>
      </c>
      <c r="F45">
        <v>79</v>
      </c>
      <c r="G45" t="s">
        <v>61</v>
      </c>
      <c r="H45" t="str">
        <f>VLOOKUP(EmployeeData[[#This Row],[Dept Code]],Lookup_Departments!$A$1:$B$7,2,FALSE)</f>
        <v>Information Technology</v>
      </c>
      <c r="I45" s="7">
        <f ca="1">YEARFRAC(EmployeeData[[#This Row],[Hire Date]],TODAY())</f>
        <v>6.833333333333333</v>
      </c>
      <c r="J45" t="str">
        <f>VLOOKUP(EmployeeData[[#This Row],[Perf_Score]],Lookup_Performance!$A$2:$C$6,3,TRUE)</f>
        <v>Achieving</v>
      </c>
      <c r="K45" s="22">
        <f>VLOOKUP(EmployeeData[[#This Row],[Performance Band]],Lookup_Performance!$C$1:$D$6,2,FALSE)</f>
        <v>0.05</v>
      </c>
      <c r="L45" s="13">
        <f>EmployeeData[[#This Row],[Salary]]*EmployeeData[[#This Row],[Bonus Percent]]</f>
        <v>4094.8</v>
      </c>
    </row>
    <row r="46" spans="1:12" x14ac:dyDescent="0.3">
      <c r="A46" t="s">
        <v>63</v>
      </c>
      <c r="B46" s="2" t="s">
        <v>224</v>
      </c>
      <c r="C46" t="s">
        <v>23</v>
      </c>
      <c r="D46" s="10">
        <v>42565</v>
      </c>
      <c r="E46" s="12">
        <v>78402</v>
      </c>
      <c r="F46">
        <v>54</v>
      </c>
      <c r="G46" t="s">
        <v>24</v>
      </c>
      <c r="H46" t="str">
        <f>VLOOKUP(EmployeeData[[#This Row],[Dept Code]],Lookup_Departments!$A$1:$B$7,2,FALSE)</f>
        <v>Sales</v>
      </c>
      <c r="I46" s="7">
        <f ca="1">YEARFRAC(EmployeeData[[#This Row],[Hire Date]],TODAY())</f>
        <v>9.9833333333333325</v>
      </c>
      <c r="J46" t="str">
        <f>VLOOKUP(EmployeeData[[#This Row],[Perf_Score]],Lookup_Performance!$A$2:$C$6,3,TRUE)</f>
        <v>Developing</v>
      </c>
      <c r="K46" s="22">
        <f>VLOOKUP(EmployeeData[[#This Row],[Performance Band]],Lookup_Performance!$C$1:$D$6,2,FALSE)</f>
        <v>0.02</v>
      </c>
      <c r="L46" s="13">
        <f>EmployeeData[[#This Row],[Salary]]*EmployeeData[[#This Row],[Bonus Percent]]</f>
        <v>1568.04</v>
      </c>
    </row>
    <row r="47" spans="1:12" x14ac:dyDescent="0.3">
      <c r="A47" t="s">
        <v>64</v>
      </c>
      <c r="B47" s="3" t="s">
        <v>225</v>
      </c>
      <c r="C47" t="s">
        <v>17</v>
      </c>
      <c r="D47" s="10">
        <v>42470</v>
      </c>
      <c r="E47" s="12">
        <v>105498</v>
      </c>
      <c r="F47">
        <v>76</v>
      </c>
      <c r="G47" t="s">
        <v>24</v>
      </c>
      <c r="H47" t="str">
        <f>VLOOKUP(EmployeeData[[#This Row],[Dept Code]],Lookup_Departments!$A$1:$B$7,2,FALSE)</f>
        <v>Operations</v>
      </c>
      <c r="I47" s="7">
        <f ca="1">YEARFRAC(EmployeeData[[#This Row],[Hire Date]],TODAY())</f>
        <v>10.244444444444444</v>
      </c>
      <c r="J47" t="str">
        <f>VLOOKUP(EmployeeData[[#This Row],[Perf_Score]],Lookup_Performance!$A$2:$C$6,3,TRUE)</f>
        <v>Achieving</v>
      </c>
      <c r="K47" s="22">
        <f>VLOOKUP(EmployeeData[[#This Row],[Performance Band]],Lookup_Performance!$C$1:$D$6,2,FALSE)</f>
        <v>0.05</v>
      </c>
      <c r="L47" s="13">
        <f>EmployeeData[[#This Row],[Salary]]*EmployeeData[[#This Row],[Bonus Percent]]</f>
        <v>5274.9000000000005</v>
      </c>
    </row>
    <row r="48" spans="1:12" x14ac:dyDescent="0.3">
      <c r="A48" t="s">
        <v>65</v>
      </c>
      <c r="B48" s="2" t="s">
        <v>226</v>
      </c>
      <c r="C48" t="s">
        <v>9</v>
      </c>
      <c r="D48" s="10">
        <v>40378</v>
      </c>
      <c r="E48" s="12">
        <v>91749</v>
      </c>
      <c r="F48">
        <v>72</v>
      </c>
      <c r="G48" t="s">
        <v>15</v>
      </c>
      <c r="H48" t="str">
        <f>VLOOKUP(EmployeeData[[#This Row],[Dept Code]],Lookup_Departments!$A$1:$B$7,2,FALSE)</f>
        <v>Marketing</v>
      </c>
      <c r="I48" s="7">
        <f ca="1">YEARFRAC(EmployeeData[[#This Row],[Hire Date]],TODAY())</f>
        <v>15.969444444444445</v>
      </c>
      <c r="J48" t="str">
        <f>VLOOKUP(EmployeeData[[#This Row],[Perf_Score]],Lookup_Performance!$A$2:$C$6,3,TRUE)</f>
        <v>Achieving</v>
      </c>
      <c r="K48" s="22">
        <f>VLOOKUP(EmployeeData[[#This Row],[Performance Band]],Lookup_Performance!$C$1:$D$6,2,FALSE)</f>
        <v>0.05</v>
      </c>
      <c r="L48" s="13">
        <f>EmployeeData[[#This Row],[Salary]]*EmployeeData[[#This Row],[Bonus Percent]]</f>
        <v>4587.45</v>
      </c>
    </row>
    <row r="49" spans="1:12" x14ac:dyDescent="0.3">
      <c r="A49" t="s">
        <v>66</v>
      </c>
      <c r="B49" s="3" t="s">
        <v>227</v>
      </c>
      <c r="C49" t="s">
        <v>17</v>
      </c>
      <c r="D49" s="10">
        <v>44437</v>
      </c>
      <c r="E49" s="12">
        <v>99935</v>
      </c>
      <c r="F49">
        <v>84</v>
      </c>
      <c r="G49" t="s">
        <v>61</v>
      </c>
      <c r="H49" t="str">
        <f>VLOOKUP(EmployeeData[[#This Row],[Dept Code]],Lookup_Departments!$A$1:$B$7,2,FALSE)</f>
        <v>Operations</v>
      </c>
      <c r="I49" s="7">
        <f ca="1">YEARFRAC(EmployeeData[[#This Row],[Hire Date]],TODAY())</f>
        <v>4.8583333333333334</v>
      </c>
      <c r="J49" t="str">
        <f>VLOOKUP(EmployeeData[[#This Row],[Perf_Score]],Lookup_Performance!$A$2:$C$6,3,TRUE)</f>
        <v>Achieving</v>
      </c>
      <c r="K49" s="22">
        <f>VLOOKUP(EmployeeData[[#This Row],[Performance Band]],Lookup_Performance!$C$1:$D$6,2,FALSE)</f>
        <v>0.05</v>
      </c>
      <c r="L49" s="13">
        <f>EmployeeData[[#This Row],[Salary]]*EmployeeData[[#This Row],[Bonus Percent]]</f>
        <v>4996.75</v>
      </c>
    </row>
    <row r="50" spans="1:12" x14ac:dyDescent="0.3">
      <c r="A50" t="s">
        <v>67</v>
      </c>
      <c r="B50" s="2" t="s">
        <v>228</v>
      </c>
      <c r="C50" t="s">
        <v>7</v>
      </c>
      <c r="D50" s="10">
        <v>42761</v>
      </c>
      <c r="E50" s="12">
        <v>83531</v>
      </c>
      <c r="F50">
        <v>30</v>
      </c>
      <c r="G50" t="s">
        <v>15</v>
      </c>
      <c r="H50" t="str">
        <f>VLOOKUP(EmployeeData[[#This Row],[Dept Code]],Lookup_Departments!$A$1:$B$7,2,FALSE)</f>
        <v>Information Technology</v>
      </c>
      <c r="I50" s="7">
        <f ca="1">YEARFRAC(EmployeeData[[#This Row],[Hire Date]],TODAY())</f>
        <v>9.4499999999999993</v>
      </c>
      <c r="J50" t="str">
        <f>VLOOKUP(EmployeeData[[#This Row],[Perf_Score]],Lookup_Performance!$A$2:$C$6,3,TRUE)</f>
        <v>Needs Improvement</v>
      </c>
      <c r="K50" s="22">
        <f>VLOOKUP(EmployeeData[[#This Row],[Performance Band]],Lookup_Performance!$C$1:$D$6,2,FALSE)</f>
        <v>0</v>
      </c>
      <c r="L50" s="13">
        <f>EmployeeData[[#This Row],[Salary]]*EmployeeData[[#This Row],[Bonus Percent]]</f>
        <v>0</v>
      </c>
    </row>
    <row r="51" spans="1:12" x14ac:dyDescent="0.3">
      <c r="A51" t="s">
        <v>68</v>
      </c>
      <c r="B51" s="3" t="s">
        <v>229</v>
      </c>
      <c r="C51" t="s">
        <v>9</v>
      </c>
      <c r="D51" s="10">
        <v>43981</v>
      </c>
      <c r="E51" s="12">
        <v>75023</v>
      </c>
      <c r="F51">
        <v>68</v>
      </c>
      <c r="G51" t="s">
        <v>24</v>
      </c>
      <c r="H51" t="str">
        <f>VLOOKUP(EmployeeData[[#This Row],[Dept Code]],Lookup_Departments!$A$1:$B$7,2,FALSE)</f>
        <v>Marketing</v>
      </c>
      <c r="I51" s="7">
        <f ca="1">YEARFRAC(EmployeeData[[#This Row],[Hire Date]],TODAY())</f>
        <v>6.1055555555555552</v>
      </c>
      <c r="J51" t="str">
        <f>VLOOKUP(EmployeeData[[#This Row],[Perf_Score]],Lookup_Performance!$A$2:$C$6,3,TRUE)</f>
        <v>Developing</v>
      </c>
      <c r="K51" s="22">
        <f>VLOOKUP(EmployeeData[[#This Row],[Performance Band]],Lookup_Performance!$C$1:$D$6,2,FALSE)</f>
        <v>0.02</v>
      </c>
      <c r="L51" s="13">
        <f>EmployeeData[[#This Row],[Salary]]*EmployeeData[[#This Row],[Bonus Percent]]</f>
        <v>1500.46</v>
      </c>
    </row>
    <row r="52" spans="1:12" x14ac:dyDescent="0.3">
      <c r="A52" t="s">
        <v>69</v>
      </c>
      <c r="B52" s="2" t="s">
        <v>230</v>
      </c>
      <c r="C52" t="s">
        <v>51</v>
      </c>
      <c r="D52" s="10">
        <v>44612</v>
      </c>
      <c r="E52" s="12">
        <v>93290</v>
      </c>
      <c r="F52">
        <v>53</v>
      </c>
      <c r="G52" t="s">
        <v>24</v>
      </c>
      <c r="H52" t="str">
        <f>VLOOKUP(EmployeeData[[#This Row],[Dept Code]],Lookup_Departments!$A$1:$B$7,2,FALSE)</f>
        <v>Human Resources</v>
      </c>
      <c r="I52" s="7">
        <f ca="1">YEARFRAC(EmployeeData[[#This Row],[Hire Date]],TODAY())</f>
        <v>4.3833333333333337</v>
      </c>
      <c r="J52" t="str">
        <f>VLOOKUP(EmployeeData[[#This Row],[Perf_Score]],Lookup_Performance!$A$2:$C$6,3,TRUE)</f>
        <v>Developing</v>
      </c>
      <c r="K52" s="22">
        <f>VLOOKUP(EmployeeData[[#This Row],[Performance Band]],Lookup_Performance!$C$1:$D$6,2,FALSE)</f>
        <v>0.02</v>
      </c>
      <c r="L52" s="13">
        <f>EmployeeData[[#This Row],[Salary]]*EmployeeData[[#This Row],[Bonus Percent]]</f>
        <v>1865.8</v>
      </c>
    </row>
    <row r="53" spans="1:12" x14ac:dyDescent="0.3">
      <c r="A53" t="s">
        <v>70</v>
      </c>
      <c r="B53" s="3" t="s">
        <v>231</v>
      </c>
      <c r="C53" t="s">
        <v>17</v>
      </c>
      <c r="D53" s="10">
        <v>42628</v>
      </c>
      <c r="E53" s="12">
        <v>115527</v>
      </c>
      <c r="F53">
        <v>63</v>
      </c>
      <c r="G53" t="s">
        <v>61</v>
      </c>
      <c r="H53" t="str">
        <f>VLOOKUP(EmployeeData[[#This Row],[Dept Code]],Lookup_Departments!$A$1:$B$7,2,FALSE)</f>
        <v>Operations</v>
      </c>
      <c r="I53" s="7">
        <f ca="1">YEARFRAC(EmployeeData[[#This Row],[Hire Date]],TODAY())</f>
        <v>9.8138888888888882</v>
      </c>
      <c r="J53" t="str">
        <f>VLOOKUP(EmployeeData[[#This Row],[Perf_Score]],Lookup_Performance!$A$2:$C$6,3,TRUE)</f>
        <v>Developing</v>
      </c>
      <c r="K53" s="22">
        <f>VLOOKUP(EmployeeData[[#This Row],[Performance Band]],Lookup_Performance!$C$1:$D$6,2,FALSE)</f>
        <v>0.02</v>
      </c>
      <c r="L53" s="13">
        <f>EmployeeData[[#This Row],[Salary]]*EmployeeData[[#This Row],[Bonus Percent]]</f>
        <v>2310.54</v>
      </c>
    </row>
    <row r="54" spans="1:12" x14ac:dyDescent="0.3">
      <c r="A54" t="s">
        <v>71</v>
      </c>
      <c r="B54" s="2" t="s">
        <v>201</v>
      </c>
      <c r="C54" t="s">
        <v>12</v>
      </c>
      <c r="D54" s="10">
        <v>43745</v>
      </c>
      <c r="E54" s="12">
        <v>55920</v>
      </c>
      <c r="F54">
        <v>84</v>
      </c>
      <c r="G54" t="s">
        <v>24</v>
      </c>
      <c r="H54" t="str">
        <f>VLOOKUP(EmployeeData[[#This Row],[Dept Code]],Lookup_Departments!$A$1:$B$7,2,FALSE)</f>
        <v>Finance</v>
      </c>
      <c r="I54" s="7">
        <f ca="1">YEARFRAC(EmployeeData[[#This Row],[Hire Date]],TODAY())</f>
        <v>6.7527777777777782</v>
      </c>
      <c r="J54" t="str">
        <f>VLOOKUP(EmployeeData[[#This Row],[Perf_Score]],Lookup_Performance!$A$2:$C$6,3,TRUE)</f>
        <v>Achieving</v>
      </c>
      <c r="K54" s="22">
        <f>VLOOKUP(EmployeeData[[#This Row],[Performance Band]],Lookup_Performance!$C$1:$D$6,2,FALSE)</f>
        <v>0.05</v>
      </c>
      <c r="L54" s="13">
        <f>EmployeeData[[#This Row],[Salary]]*EmployeeData[[#This Row],[Bonus Percent]]</f>
        <v>2796</v>
      </c>
    </row>
    <row r="55" spans="1:12" x14ac:dyDescent="0.3">
      <c r="A55" t="s">
        <v>72</v>
      </c>
      <c r="B55" s="3" t="s">
        <v>192</v>
      </c>
      <c r="C55" t="s">
        <v>23</v>
      </c>
      <c r="D55" s="10">
        <v>43464</v>
      </c>
      <c r="E55" s="12">
        <v>80189</v>
      </c>
      <c r="F55">
        <v>30</v>
      </c>
      <c r="G55" t="s">
        <v>24</v>
      </c>
      <c r="H55" t="str">
        <f>VLOOKUP(EmployeeData[[#This Row],[Dept Code]],Lookup_Departments!$A$1:$B$7,2,FALSE)</f>
        <v>Sales</v>
      </c>
      <c r="I55" s="7">
        <f ca="1">YEARFRAC(EmployeeData[[#This Row],[Hire Date]],TODAY())</f>
        <v>7.5222222222222221</v>
      </c>
      <c r="J55" t="str">
        <f>VLOOKUP(EmployeeData[[#This Row],[Perf_Score]],Lookup_Performance!$A$2:$C$6,3,TRUE)</f>
        <v>Needs Improvement</v>
      </c>
      <c r="K55" s="22">
        <f>VLOOKUP(EmployeeData[[#This Row],[Performance Band]],Lookup_Performance!$C$1:$D$6,2,FALSE)</f>
        <v>0</v>
      </c>
      <c r="L55" s="13">
        <f>EmployeeData[[#This Row],[Salary]]*EmployeeData[[#This Row],[Bonus Percent]]</f>
        <v>0</v>
      </c>
    </row>
    <row r="56" spans="1:12" x14ac:dyDescent="0.3">
      <c r="A56" t="s">
        <v>73</v>
      </c>
      <c r="B56" s="2" t="s">
        <v>232</v>
      </c>
      <c r="C56" t="s">
        <v>51</v>
      </c>
      <c r="D56" s="10">
        <v>44189</v>
      </c>
      <c r="E56" s="12">
        <v>118947</v>
      </c>
      <c r="F56">
        <v>96</v>
      </c>
      <c r="G56" t="s">
        <v>24</v>
      </c>
      <c r="H56" t="str">
        <f>VLOOKUP(EmployeeData[[#This Row],[Dept Code]],Lookup_Departments!$A$1:$B$7,2,FALSE)</f>
        <v>Human Resources</v>
      </c>
      <c r="I56" s="7">
        <f ca="1">YEARFRAC(EmployeeData[[#This Row],[Hire Date]],TODAY())</f>
        <v>5.5388888888888888</v>
      </c>
      <c r="J56" t="str">
        <f>VLOOKUP(EmployeeData[[#This Row],[Perf_Score]],Lookup_Performance!$A$2:$C$6,3,TRUE)</f>
        <v>Outstanding</v>
      </c>
      <c r="K56" s="22">
        <f>VLOOKUP(EmployeeData[[#This Row],[Performance Band]],Lookup_Performance!$C$1:$D$6,2,FALSE)</f>
        <v>0.12</v>
      </c>
      <c r="L56" s="13">
        <f>EmployeeData[[#This Row],[Salary]]*EmployeeData[[#This Row],[Bonus Percent]]</f>
        <v>14273.64</v>
      </c>
    </row>
    <row r="57" spans="1:12" x14ac:dyDescent="0.3">
      <c r="A57" t="s">
        <v>74</v>
      </c>
      <c r="B57" s="3" t="s">
        <v>233</v>
      </c>
      <c r="C57" t="s">
        <v>7</v>
      </c>
      <c r="D57" s="10">
        <v>45053</v>
      </c>
      <c r="E57" s="12">
        <v>82713.428571428594</v>
      </c>
      <c r="F57">
        <v>54</v>
      </c>
      <c r="G57" t="s">
        <v>24</v>
      </c>
      <c r="H57" t="str">
        <f>VLOOKUP(EmployeeData[[#This Row],[Dept Code]],Lookup_Departments!$A$1:$B$7,2,FALSE)</f>
        <v>Information Technology</v>
      </c>
      <c r="I57" s="7">
        <f ca="1">YEARFRAC(EmployeeData[[#This Row],[Hire Date]],TODAY())</f>
        <v>3.1694444444444443</v>
      </c>
      <c r="J57" t="str">
        <f>VLOOKUP(EmployeeData[[#This Row],[Perf_Score]],Lookup_Performance!$A$2:$C$6,3,TRUE)</f>
        <v>Developing</v>
      </c>
      <c r="K57" s="22">
        <f>VLOOKUP(EmployeeData[[#This Row],[Performance Band]],Lookup_Performance!$C$1:$D$6,2,FALSE)</f>
        <v>0.02</v>
      </c>
      <c r="L57" s="13">
        <f>EmployeeData[[#This Row],[Salary]]*EmployeeData[[#This Row],[Bonus Percent]]</f>
        <v>1654.2685714285719</v>
      </c>
    </row>
    <row r="58" spans="1:12" x14ac:dyDescent="0.3">
      <c r="A58" t="s">
        <v>75</v>
      </c>
      <c r="B58" s="2" t="s">
        <v>234</v>
      </c>
      <c r="C58" t="s">
        <v>17</v>
      </c>
      <c r="D58" s="10">
        <v>44148</v>
      </c>
      <c r="E58" s="12">
        <v>82713.428571428594</v>
      </c>
      <c r="F58">
        <v>75</v>
      </c>
      <c r="G58" t="s">
        <v>24</v>
      </c>
      <c r="H58" t="str">
        <f>VLOOKUP(EmployeeData[[#This Row],[Dept Code]],Lookup_Departments!$A$1:$B$7,2,FALSE)</f>
        <v>Operations</v>
      </c>
      <c r="I58" s="7">
        <f ca="1">YEARFRAC(EmployeeData[[#This Row],[Hire Date]],TODAY())</f>
        <v>5.6527777777777777</v>
      </c>
      <c r="J58" t="str">
        <f>VLOOKUP(EmployeeData[[#This Row],[Perf_Score]],Lookup_Performance!$A$2:$C$6,3,TRUE)</f>
        <v>Achieving</v>
      </c>
      <c r="K58" s="22">
        <f>VLOOKUP(EmployeeData[[#This Row],[Performance Band]],Lookup_Performance!$C$1:$D$6,2,FALSE)</f>
        <v>0.05</v>
      </c>
      <c r="L58" s="13">
        <f>EmployeeData[[#This Row],[Salary]]*EmployeeData[[#This Row],[Bonus Percent]]</f>
        <v>4135.6714285714297</v>
      </c>
    </row>
    <row r="59" spans="1:12" x14ac:dyDescent="0.3">
      <c r="A59" t="s">
        <v>76</v>
      </c>
      <c r="B59" s="3" t="s">
        <v>235</v>
      </c>
      <c r="C59" t="s">
        <v>51</v>
      </c>
      <c r="D59" s="10">
        <v>43138</v>
      </c>
      <c r="E59" s="12">
        <v>91655</v>
      </c>
      <c r="F59">
        <v>95</v>
      </c>
      <c r="G59" t="s">
        <v>24</v>
      </c>
      <c r="H59" t="str">
        <f>VLOOKUP(EmployeeData[[#This Row],[Dept Code]],Lookup_Departments!$A$1:$B$7,2,FALSE)</f>
        <v>Human Resources</v>
      </c>
      <c r="I59" s="7">
        <f ca="1">YEARFRAC(EmployeeData[[#This Row],[Hire Date]],TODAY())</f>
        <v>8.4194444444444443</v>
      </c>
      <c r="J59" t="str">
        <f>VLOOKUP(EmployeeData[[#This Row],[Perf_Score]],Lookup_Performance!$A$2:$C$6,3,TRUE)</f>
        <v>Outstanding</v>
      </c>
      <c r="K59" s="22">
        <f>VLOOKUP(EmployeeData[[#This Row],[Performance Band]],Lookup_Performance!$C$1:$D$6,2,FALSE)</f>
        <v>0.12</v>
      </c>
      <c r="L59" s="13">
        <f>EmployeeData[[#This Row],[Salary]]*EmployeeData[[#This Row],[Bonus Percent]]</f>
        <v>10998.6</v>
      </c>
    </row>
    <row r="60" spans="1:12" x14ac:dyDescent="0.3">
      <c r="A60" t="s">
        <v>77</v>
      </c>
      <c r="B60" s="2" t="s">
        <v>187</v>
      </c>
      <c r="C60" t="s">
        <v>7</v>
      </c>
      <c r="D60" s="10">
        <v>45255</v>
      </c>
      <c r="E60" s="12">
        <v>49435</v>
      </c>
      <c r="F60">
        <v>68</v>
      </c>
      <c r="G60" t="s">
        <v>15</v>
      </c>
      <c r="H60" t="str">
        <f>VLOOKUP(EmployeeData[[#This Row],[Dept Code]],Lookup_Departments!$A$1:$B$7,2,FALSE)</f>
        <v>Information Technology</v>
      </c>
      <c r="I60" s="7">
        <f ca="1">YEARFRAC(EmployeeData[[#This Row],[Hire Date]],TODAY())</f>
        <v>2.6194444444444445</v>
      </c>
      <c r="J60" t="str">
        <f>VLOOKUP(EmployeeData[[#This Row],[Perf_Score]],Lookup_Performance!$A$2:$C$6,3,TRUE)</f>
        <v>Developing</v>
      </c>
      <c r="K60" s="22">
        <f>VLOOKUP(EmployeeData[[#This Row],[Performance Band]],Lookup_Performance!$C$1:$D$6,2,FALSE)</f>
        <v>0.02</v>
      </c>
      <c r="L60" s="13">
        <f>EmployeeData[[#This Row],[Salary]]*EmployeeData[[#This Row],[Bonus Percent]]</f>
        <v>988.7</v>
      </c>
    </row>
    <row r="61" spans="1:12" x14ac:dyDescent="0.3">
      <c r="A61" t="s">
        <v>78</v>
      </c>
      <c r="B61" s="3" t="s">
        <v>220</v>
      </c>
      <c r="C61" t="s">
        <v>23</v>
      </c>
      <c r="D61" s="10">
        <v>45217</v>
      </c>
      <c r="E61" s="12">
        <v>110381</v>
      </c>
      <c r="F61">
        <v>93</v>
      </c>
      <c r="G61" t="s">
        <v>24</v>
      </c>
      <c r="H61" t="str">
        <f>VLOOKUP(EmployeeData[[#This Row],[Dept Code]],Lookup_Departments!$A$1:$B$7,2,FALSE)</f>
        <v>Sales</v>
      </c>
      <c r="I61" s="7">
        <f ca="1">YEARFRAC(EmployeeData[[#This Row],[Hire Date]],TODAY())</f>
        <v>2.7222222222222223</v>
      </c>
      <c r="J61" t="str">
        <f>VLOOKUP(EmployeeData[[#This Row],[Perf_Score]],Lookup_Performance!$A$2:$C$6,3,TRUE)</f>
        <v>Exceeding</v>
      </c>
      <c r="K61" s="22">
        <f>VLOOKUP(EmployeeData[[#This Row],[Performance Band]],Lookup_Performance!$C$1:$D$6,2,FALSE)</f>
        <v>0.08</v>
      </c>
      <c r="L61" s="13">
        <f>EmployeeData[[#This Row],[Salary]]*EmployeeData[[#This Row],[Bonus Percent]]</f>
        <v>8830.48</v>
      </c>
    </row>
    <row r="62" spans="1:12" x14ac:dyDescent="0.3">
      <c r="A62" t="s">
        <v>79</v>
      </c>
      <c r="B62" s="2" t="s">
        <v>236</v>
      </c>
      <c r="C62" t="s">
        <v>51</v>
      </c>
      <c r="D62" s="10">
        <v>43960</v>
      </c>
      <c r="E62" s="12">
        <v>114748</v>
      </c>
      <c r="F62">
        <v>33</v>
      </c>
      <c r="G62" t="s">
        <v>24</v>
      </c>
      <c r="H62" t="str">
        <f>VLOOKUP(EmployeeData[[#This Row],[Dept Code]],Lookup_Departments!$A$1:$B$7,2,FALSE)</f>
        <v>Human Resources</v>
      </c>
      <c r="I62" s="7">
        <f ca="1">YEARFRAC(EmployeeData[[#This Row],[Hire Date]],TODAY())</f>
        <v>6.1638888888888888</v>
      </c>
      <c r="J62" t="str">
        <f>VLOOKUP(EmployeeData[[#This Row],[Perf_Score]],Lookup_Performance!$A$2:$C$6,3,TRUE)</f>
        <v>Needs Improvement</v>
      </c>
      <c r="K62" s="22">
        <f>VLOOKUP(EmployeeData[[#This Row],[Performance Band]],Lookup_Performance!$C$1:$D$6,2,FALSE)</f>
        <v>0</v>
      </c>
      <c r="L62" s="13">
        <f>EmployeeData[[#This Row],[Salary]]*EmployeeData[[#This Row],[Bonus Percent]]</f>
        <v>0</v>
      </c>
    </row>
    <row r="63" spans="1:12" x14ac:dyDescent="0.3">
      <c r="A63" t="s">
        <v>80</v>
      </c>
      <c r="B63" s="3" t="s">
        <v>237</v>
      </c>
      <c r="C63" t="s">
        <v>17</v>
      </c>
      <c r="D63" s="10">
        <v>42889</v>
      </c>
      <c r="E63" s="12">
        <v>63302</v>
      </c>
      <c r="F63">
        <v>91</v>
      </c>
      <c r="G63" t="s">
        <v>24</v>
      </c>
      <c r="H63" t="str">
        <f>VLOOKUP(EmployeeData[[#This Row],[Dept Code]],Lookup_Departments!$A$1:$B$7,2,FALSE)</f>
        <v>Operations</v>
      </c>
      <c r="I63" s="7">
        <f ca="1">YEARFRAC(EmployeeData[[#This Row],[Hire Date]],TODAY())</f>
        <v>9.0972222222222214</v>
      </c>
      <c r="J63" t="str">
        <f>VLOOKUP(EmployeeData[[#This Row],[Perf_Score]],Lookup_Performance!$A$2:$C$6,3,TRUE)</f>
        <v>Exceeding</v>
      </c>
      <c r="K63" s="22">
        <f>VLOOKUP(EmployeeData[[#This Row],[Performance Band]],Lookup_Performance!$C$1:$D$6,2,FALSE)</f>
        <v>0.08</v>
      </c>
      <c r="L63" s="13">
        <f>EmployeeData[[#This Row],[Salary]]*EmployeeData[[#This Row],[Bonus Percent]]</f>
        <v>5064.16</v>
      </c>
    </row>
    <row r="64" spans="1:12" x14ac:dyDescent="0.3">
      <c r="A64" t="s">
        <v>81</v>
      </c>
      <c r="B64" s="2" t="s">
        <v>238</v>
      </c>
      <c r="C64" t="s">
        <v>7</v>
      </c>
      <c r="D64" s="10">
        <v>42122</v>
      </c>
      <c r="E64" s="12">
        <v>75519</v>
      </c>
      <c r="F64">
        <v>64</v>
      </c>
      <c r="G64" t="s">
        <v>24</v>
      </c>
      <c r="H64" t="str">
        <f>VLOOKUP(EmployeeData[[#This Row],[Dept Code]],Lookup_Departments!$A$1:$B$7,2,FALSE)</f>
        <v>Information Technology</v>
      </c>
      <c r="I64" s="7">
        <f ca="1">YEARFRAC(EmployeeData[[#This Row],[Hire Date]],TODAY())</f>
        <v>11.194444444444445</v>
      </c>
      <c r="J64" t="str">
        <f>VLOOKUP(EmployeeData[[#This Row],[Perf_Score]],Lookup_Performance!$A$2:$C$6,3,TRUE)</f>
        <v>Developing</v>
      </c>
      <c r="K64" s="22">
        <f>VLOOKUP(EmployeeData[[#This Row],[Performance Band]],Lookup_Performance!$C$1:$D$6,2,FALSE)</f>
        <v>0.02</v>
      </c>
      <c r="L64" s="13">
        <f>EmployeeData[[#This Row],[Salary]]*EmployeeData[[#This Row],[Bonus Percent]]</f>
        <v>1510.38</v>
      </c>
    </row>
    <row r="65" spans="1:12" x14ac:dyDescent="0.3">
      <c r="A65" t="s">
        <v>82</v>
      </c>
      <c r="B65" s="3" t="s">
        <v>230</v>
      </c>
      <c r="C65" t="s">
        <v>12</v>
      </c>
      <c r="D65" s="10">
        <v>42838</v>
      </c>
      <c r="E65" s="12">
        <v>103891</v>
      </c>
      <c r="F65">
        <v>80</v>
      </c>
      <c r="G65" t="s">
        <v>24</v>
      </c>
      <c r="H65" t="str">
        <f>VLOOKUP(EmployeeData[[#This Row],[Dept Code]],Lookup_Departments!$A$1:$B$7,2,FALSE)</f>
        <v>Finance</v>
      </c>
      <c r="I65" s="7">
        <f ca="1">YEARFRAC(EmployeeData[[#This Row],[Hire Date]],TODAY())</f>
        <v>9.2361111111111107</v>
      </c>
      <c r="J65" t="str">
        <f>VLOOKUP(EmployeeData[[#This Row],[Perf_Score]],Lookup_Performance!$A$2:$C$6,3,TRUE)</f>
        <v>Achieving</v>
      </c>
      <c r="K65" s="22">
        <f>VLOOKUP(EmployeeData[[#This Row],[Performance Band]],Lookup_Performance!$C$1:$D$6,2,FALSE)</f>
        <v>0.05</v>
      </c>
      <c r="L65" s="13">
        <f>EmployeeData[[#This Row],[Salary]]*EmployeeData[[#This Row],[Bonus Percent]]</f>
        <v>5194.55</v>
      </c>
    </row>
    <row r="66" spans="1:12" x14ac:dyDescent="0.3">
      <c r="A66" t="s">
        <v>83</v>
      </c>
      <c r="B66" s="2" t="s">
        <v>239</v>
      </c>
      <c r="C66" t="s">
        <v>17</v>
      </c>
      <c r="D66" s="10">
        <v>44827</v>
      </c>
      <c r="E66" s="12">
        <v>82713.428571428594</v>
      </c>
      <c r="F66">
        <v>46</v>
      </c>
      <c r="G66" t="s">
        <v>15</v>
      </c>
      <c r="H66" t="str">
        <f>VLOOKUP(EmployeeData[[#This Row],[Dept Code]],Lookup_Departments!$A$1:$B$7,2,FALSE)</f>
        <v>Operations</v>
      </c>
      <c r="I66" s="7">
        <f ca="1">YEARFRAC(EmployeeData[[#This Row],[Hire Date]],TODAY())</f>
        <v>3.7916666666666665</v>
      </c>
      <c r="J66" t="str">
        <f>VLOOKUP(EmployeeData[[#This Row],[Perf_Score]],Lookup_Performance!$A$2:$C$6,3,TRUE)</f>
        <v>Needs Improvement</v>
      </c>
      <c r="K66" s="22">
        <f>VLOOKUP(EmployeeData[[#This Row],[Performance Band]],Lookup_Performance!$C$1:$D$6,2,FALSE)</f>
        <v>0</v>
      </c>
      <c r="L66" s="13">
        <f>EmployeeData[[#This Row],[Salary]]*EmployeeData[[#This Row],[Bonus Percent]]</f>
        <v>0</v>
      </c>
    </row>
    <row r="67" spans="1:12" x14ac:dyDescent="0.3">
      <c r="A67" t="s">
        <v>84</v>
      </c>
      <c r="B67" s="3" t="s">
        <v>240</v>
      </c>
      <c r="C67" t="s">
        <v>9</v>
      </c>
      <c r="D67" s="10">
        <v>42685</v>
      </c>
      <c r="E67" s="12">
        <v>50936</v>
      </c>
      <c r="F67">
        <v>99</v>
      </c>
      <c r="G67" t="s">
        <v>24</v>
      </c>
      <c r="H67" t="str">
        <f>VLOOKUP(EmployeeData[[#This Row],[Dept Code]],Lookup_Departments!$A$1:$B$7,2,FALSE)</f>
        <v>Marketing</v>
      </c>
      <c r="I67" s="7">
        <f ca="1">YEARFRAC(EmployeeData[[#This Row],[Hire Date]],TODAY())</f>
        <v>9.6583333333333332</v>
      </c>
      <c r="J67" t="str">
        <f>VLOOKUP(EmployeeData[[#This Row],[Perf_Score]],Lookup_Performance!$A$2:$C$6,3,TRUE)</f>
        <v>Outstanding</v>
      </c>
      <c r="K67" s="22">
        <f>VLOOKUP(EmployeeData[[#This Row],[Performance Band]],Lookup_Performance!$C$1:$D$6,2,FALSE)</f>
        <v>0.12</v>
      </c>
      <c r="L67" s="13">
        <f>EmployeeData[[#This Row],[Salary]]*EmployeeData[[#This Row],[Bonus Percent]]</f>
        <v>6112.32</v>
      </c>
    </row>
    <row r="68" spans="1:12" x14ac:dyDescent="0.3">
      <c r="A68" t="s">
        <v>85</v>
      </c>
      <c r="B68" s="2" t="s">
        <v>241</v>
      </c>
      <c r="C68" t="s">
        <v>23</v>
      </c>
      <c r="D68" s="10">
        <v>45368</v>
      </c>
      <c r="E68" s="12">
        <v>111240</v>
      </c>
      <c r="F68">
        <v>68</v>
      </c>
      <c r="G68" t="s">
        <v>24</v>
      </c>
      <c r="H68" t="str">
        <f>VLOOKUP(EmployeeData[[#This Row],[Dept Code]],Lookup_Departments!$A$1:$B$7,2,FALSE)</f>
        <v>Sales</v>
      </c>
      <c r="I68" s="7">
        <f ca="1">YEARFRAC(EmployeeData[[#This Row],[Hire Date]],TODAY())</f>
        <v>2.3083333333333331</v>
      </c>
      <c r="J68" t="str">
        <f>VLOOKUP(EmployeeData[[#This Row],[Perf_Score]],Lookup_Performance!$A$2:$C$6,3,TRUE)</f>
        <v>Developing</v>
      </c>
      <c r="K68" s="22">
        <f>VLOOKUP(EmployeeData[[#This Row],[Performance Band]],Lookup_Performance!$C$1:$D$6,2,FALSE)</f>
        <v>0.02</v>
      </c>
      <c r="L68" s="13">
        <f>EmployeeData[[#This Row],[Salary]]*EmployeeData[[#This Row],[Bonus Percent]]</f>
        <v>2224.8000000000002</v>
      </c>
    </row>
    <row r="69" spans="1:12" x14ac:dyDescent="0.3">
      <c r="A69" t="s">
        <v>86</v>
      </c>
      <c r="B69" s="3" t="s">
        <v>242</v>
      </c>
      <c r="C69" t="s">
        <v>51</v>
      </c>
      <c r="D69" s="10">
        <v>38491</v>
      </c>
      <c r="E69" s="12">
        <v>51567</v>
      </c>
      <c r="F69">
        <v>87</v>
      </c>
      <c r="G69" t="s">
        <v>61</v>
      </c>
      <c r="H69" t="str">
        <f>VLOOKUP(EmployeeData[[#This Row],[Dept Code]],Lookup_Departments!$A$1:$B$7,2,FALSE)</f>
        <v>Human Resources</v>
      </c>
      <c r="I69" s="7">
        <f ca="1">YEARFRAC(EmployeeData[[#This Row],[Hire Date]],TODAY())</f>
        <v>21.136111111111113</v>
      </c>
      <c r="J69" t="str">
        <f>VLOOKUP(EmployeeData[[#This Row],[Perf_Score]],Lookup_Performance!$A$2:$C$6,3,TRUE)</f>
        <v>Exceeding</v>
      </c>
      <c r="K69" s="22">
        <f>VLOOKUP(EmployeeData[[#This Row],[Performance Band]],Lookup_Performance!$C$1:$D$6,2,FALSE)</f>
        <v>0.08</v>
      </c>
      <c r="L69" s="13">
        <f>EmployeeData[[#This Row],[Salary]]*EmployeeData[[#This Row],[Bonus Percent]]</f>
        <v>4125.3599999999997</v>
      </c>
    </row>
    <row r="70" spans="1:12" x14ac:dyDescent="0.3">
      <c r="A70" t="s">
        <v>87</v>
      </c>
      <c r="B70" s="2" t="s">
        <v>243</v>
      </c>
      <c r="C70" t="s">
        <v>51</v>
      </c>
      <c r="D70" s="10">
        <v>44402</v>
      </c>
      <c r="E70" s="12">
        <v>82713.428571428594</v>
      </c>
      <c r="F70">
        <v>36</v>
      </c>
      <c r="G70" t="s">
        <v>24</v>
      </c>
      <c r="H70" t="str">
        <f>VLOOKUP(EmployeeData[[#This Row],[Dept Code]],Lookup_Departments!$A$1:$B$7,2,FALSE)</f>
        <v>Human Resources</v>
      </c>
      <c r="I70" s="7">
        <f ca="1">YEARFRAC(EmployeeData[[#This Row],[Hire Date]],TODAY())</f>
        <v>4.9527777777777775</v>
      </c>
      <c r="J70" t="str">
        <f>VLOOKUP(EmployeeData[[#This Row],[Perf_Score]],Lookup_Performance!$A$2:$C$6,3,TRUE)</f>
        <v>Needs Improvement</v>
      </c>
      <c r="K70" s="22">
        <f>VLOOKUP(EmployeeData[[#This Row],[Performance Band]],Lookup_Performance!$C$1:$D$6,2,FALSE)</f>
        <v>0</v>
      </c>
      <c r="L70" s="13">
        <f>EmployeeData[[#This Row],[Salary]]*EmployeeData[[#This Row],[Bonus Percent]]</f>
        <v>0</v>
      </c>
    </row>
    <row r="71" spans="1:12" x14ac:dyDescent="0.3">
      <c r="A71" t="s">
        <v>88</v>
      </c>
      <c r="B71" s="3" t="s">
        <v>238</v>
      </c>
      <c r="C71" t="s">
        <v>51</v>
      </c>
      <c r="D71" s="10">
        <v>43008</v>
      </c>
      <c r="E71" s="12">
        <v>55270</v>
      </c>
      <c r="F71">
        <v>87</v>
      </c>
      <c r="G71" t="s">
        <v>24</v>
      </c>
      <c r="H71" t="str">
        <f>VLOOKUP(EmployeeData[[#This Row],[Dept Code]],Lookup_Departments!$A$1:$B$7,2,FALSE)</f>
        <v>Human Resources</v>
      </c>
      <c r="I71" s="7">
        <f ca="1">YEARFRAC(EmployeeData[[#This Row],[Hire Date]],TODAY())</f>
        <v>8.7722222222222221</v>
      </c>
      <c r="J71" t="str">
        <f>VLOOKUP(EmployeeData[[#This Row],[Perf_Score]],Lookup_Performance!$A$2:$C$6,3,TRUE)</f>
        <v>Exceeding</v>
      </c>
      <c r="K71" s="22">
        <f>VLOOKUP(EmployeeData[[#This Row],[Performance Band]],Lookup_Performance!$C$1:$D$6,2,FALSE)</f>
        <v>0.08</v>
      </c>
      <c r="L71" s="13">
        <f>EmployeeData[[#This Row],[Salary]]*EmployeeData[[#This Row],[Bonus Percent]]</f>
        <v>4421.6000000000004</v>
      </c>
    </row>
    <row r="72" spans="1:12" x14ac:dyDescent="0.3">
      <c r="A72" t="s">
        <v>89</v>
      </c>
      <c r="B72" s="2" t="s">
        <v>244</v>
      </c>
      <c r="C72" t="s">
        <v>23</v>
      </c>
      <c r="D72" s="10">
        <v>42192</v>
      </c>
      <c r="E72" s="12">
        <v>65235</v>
      </c>
      <c r="F72">
        <v>97</v>
      </c>
      <c r="G72" t="s">
        <v>24</v>
      </c>
      <c r="H72" t="str">
        <f>VLOOKUP(EmployeeData[[#This Row],[Dept Code]],Lookup_Departments!$A$1:$B$7,2,FALSE)</f>
        <v>Sales</v>
      </c>
      <c r="I72" s="7">
        <f ca="1">YEARFRAC(EmployeeData[[#This Row],[Hire Date]],TODAY())</f>
        <v>11.002777777777778</v>
      </c>
      <c r="J72" t="str">
        <f>VLOOKUP(EmployeeData[[#This Row],[Perf_Score]],Lookup_Performance!$A$2:$C$6,3,TRUE)</f>
        <v>Outstanding</v>
      </c>
      <c r="K72" s="22">
        <f>VLOOKUP(EmployeeData[[#This Row],[Performance Band]],Lookup_Performance!$C$1:$D$6,2,FALSE)</f>
        <v>0.12</v>
      </c>
      <c r="L72" s="13">
        <f>EmployeeData[[#This Row],[Salary]]*EmployeeData[[#This Row],[Bonus Percent]]</f>
        <v>7828.2</v>
      </c>
    </row>
    <row r="73" spans="1:12" x14ac:dyDescent="0.3">
      <c r="A73" t="s">
        <v>90</v>
      </c>
      <c r="B73" s="3" t="s">
        <v>245</v>
      </c>
      <c r="C73" t="s">
        <v>23</v>
      </c>
      <c r="D73" s="10">
        <v>43138</v>
      </c>
      <c r="E73" s="12">
        <v>82713.428571428594</v>
      </c>
      <c r="F73">
        <v>72</v>
      </c>
      <c r="G73" t="s">
        <v>15</v>
      </c>
      <c r="H73" t="str">
        <f>VLOOKUP(EmployeeData[[#This Row],[Dept Code]],Lookup_Departments!$A$1:$B$7,2,FALSE)</f>
        <v>Sales</v>
      </c>
      <c r="I73" s="7">
        <f ca="1">YEARFRAC(EmployeeData[[#This Row],[Hire Date]],TODAY())</f>
        <v>8.4194444444444443</v>
      </c>
      <c r="J73" t="str">
        <f>VLOOKUP(EmployeeData[[#This Row],[Perf_Score]],Lookup_Performance!$A$2:$C$6,3,TRUE)</f>
        <v>Achieving</v>
      </c>
      <c r="K73" s="22">
        <f>VLOOKUP(EmployeeData[[#This Row],[Performance Band]],Lookup_Performance!$C$1:$D$6,2,FALSE)</f>
        <v>0.05</v>
      </c>
      <c r="L73" s="13">
        <f>EmployeeData[[#This Row],[Salary]]*EmployeeData[[#This Row],[Bonus Percent]]</f>
        <v>4135.6714285714297</v>
      </c>
    </row>
    <row r="74" spans="1:12" x14ac:dyDescent="0.3">
      <c r="A74" t="s">
        <v>91</v>
      </c>
      <c r="B74" s="2" t="s">
        <v>246</v>
      </c>
      <c r="C74" t="s">
        <v>23</v>
      </c>
      <c r="D74" s="10">
        <v>44819</v>
      </c>
      <c r="E74" s="12">
        <v>82713.428571428594</v>
      </c>
      <c r="F74">
        <v>65</v>
      </c>
      <c r="G74" t="s">
        <v>15</v>
      </c>
      <c r="H74" t="str">
        <f>VLOOKUP(EmployeeData[[#This Row],[Dept Code]],Lookup_Departments!$A$1:$B$7,2,FALSE)</f>
        <v>Sales</v>
      </c>
      <c r="I74" s="7">
        <f ca="1">YEARFRAC(EmployeeData[[#This Row],[Hire Date]],TODAY())</f>
        <v>3.8138888888888891</v>
      </c>
      <c r="J74" t="str">
        <f>VLOOKUP(EmployeeData[[#This Row],[Perf_Score]],Lookup_Performance!$A$2:$C$6,3,TRUE)</f>
        <v>Developing</v>
      </c>
      <c r="K74" s="22">
        <f>VLOOKUP(EmployeeData[[#This Row],[Performance Band]],Lookup_Performance!$C$1:$D$6,2,FALSE)</f>
        <v>0.02</v>
      </c>
      <c r="L74" s="13">
        <f>EmployeeData[[#This Row],[Salary]]*EmployeeData[[#This Row],[Bonus Percent]]</f>
        <v>1654.2685714285719</v>
      </c>
    </row>
    <row r="75" spans="1:12" x14ac:dyDescent="0.3">
      <c r="A75" t="s">
        <v>92</v>
      </c>
      <c r="B75" s="3" t="s">
        <v>247</v>
      </c>
      <c r="C75" t="s">
        <v>23</v>
      </c>
      <c r="D75" s="10">
        <v>42044</v>
      </c>
      <c r="E75" s="12">
        <v>82713.428571428594</v>
      </c>
      <c r="F75">
        <v>67</v>
      </c>
      <c r="G75" t="s">
        <v>24</v>
      </c>
      <c r="H75" t="str">
        <f>VLOOKUP(EmployeeData[[#This Row],[Dept Code]],Lookup_Departments!$A$1:$B$7,2,FALSE)</f>
        <v>Sales</v>
      </c>
      <c r="I75" s="7">
        <f ca="1">YEARFRAC(EmployeeData[[#This Row],[Hire Date]],TODAY())</f>
        <v>11.41388888888889</v>
      </c>
      <c r="J75" t="str">
        <f>VLOOKUP(EmployeeData[[#This Row],[Perf_Score]],Lookup_Performance!$A$2:$C$6,3,TRUE)</f>
        <v>Developing</v>
      </c>
      <c r="K75" s="22">
        <f>VLOOKUP(EmployeeData[[#This Row],[Performance Band]],Lookup_Performance!$C$1:$D$6,2,FALSE)</f>
        <v>0.02</v>
      </c>
      <c r="L75" s="13">
        <f>EmployeeData[[#This Row],[Salary]]*EmployeeData[[#This Row],[Bonus Percent]]</f>
        <v>1654.2685714285719</v>
      </c>
    </row>
    <row r="76" spans="1:12" x14ac:dyDescent="0.3">
      <c r="A76" t="s">
        <v>93</v>
      </c>
      <c r="B76" s="2" t="s">
        <v>248</v>
      </c>
      <c r="C76" t="s">
        <v>17</v>
      </c>
      <c r="D76" s="10">
        <v>40832</v>
      </c>
      <c r="E76" s="12">
        <v>48823</v>
      </c>
      <c r="F76">
        <v>34</v>
      </c>
      <c r="G76" t="s">
        <v>24</v>
      </c>
      <c r="H76" t="str">
        <f>VLOOKUP(EmployeeData[[#This Row],[Dept Code]],Lookup_Departments!$A$1:$B$7,2,FALSE)</f>
        <v>Operations</v>
      </c>
      <c r="I76" s="7">
        <f ca="1">YEARFRAC(EmployeeData[[#This Row],[Hire Date]],TODAY())</f>
        <v>14.727777777777778</v>
      </c>
      <c r="J76" t="str">
        <f>VLOOKUP(EmployeeData[[#This Row],[Perf_Score]],Lookup_Performance!$A$2:$C$6,3,TRUE)</f>
        <v>Needs Improvement</v>
      </c>
      <c r="K76" s="22">
        <f>VLOOKUP(EmployeeData[[#This Row],[Performance Band]],Lookup_Performance!$C$1:$D$6,2,FALSE)</f>
        <v>0</v>
      </c>
      <c r="L76" s="13">
        <f>EmployeeData[[#This Row],[Salary]]*EmployeeData[[#This Row],[Bonus Percent]]</f>
        <v>0</v>
      </c>
    </row>
    <row r="77" spans="1:12" x14ac:dyDescent="0.3">
      <c r="A77" t="s">
        <v>94</v>
      </c>
      <c r="B77" s="3" t="s">
        <v>247</v>
      </c>
      <c r="C77" t="s">
        <v>12</v>
      </c>
      <c r="D77" s="10">
        <v>43575</v>
      </c>
      <c r="E77" s="12">
        <v>45196</v>
      </c>
      <c r="F77">
        <v>78</v>
      </c>
      <c r="G77" t="s">
        <v>15</v>
      </c>
      <c r="H77" t="str">
        <f>VLOOKUP(EmployeeData[[#This Row],[Dept Code]],Lookup_Departments!$A$1:$B$7,2,FALSE)</f>
        <v>Finance</v>
      </c>
      <c r="I77" s="7">
        <f ca="1">YEARFRAC(EmployeeData[[#This Row],[Hire Date]],TODAY())</f>
        <v>7.2166666666666668</v>
      </c>
      <c r="J77" t="str">
        <f>VLOOKUP(EmployeeData[[#This Row],[Perf_Score]],Lookup_Performance!$A$2:$C$6,3,TRUE)</f>
        <v>Achieving</v>
      </c>
      <c r="K77" s="22">
        <f>VLOOKUP(EmployeeData[[#This Row],[Performance Band]],Lookup_Performance!$C$1:$D$6,2,FALSE)</f>
        <v>0.05</v>
      </c>
      <c r="L77" s="13">
        <f>EmployeeData[[#This Row],[Salary]]*EmployeeData[[#This Row],[Bonus Percent]]</f>
        <v>2259.8000000000002</v>
      </c>
    </row>
    <row r="78" spans="1:12" x14ac:dyDescent="0.3">
      <c r="A78" t="s">
        <v>95</v>
      </c>
      <c r="B78" s="2" t="s">
        <v>249</v>
      </c>
      <c r="C78" t="s">
        <v>7</v>
      </c>
      <c r="D78" s="10">
        <v>42785</v>
      </c>
      <c r="E78" s="12">
        <v>86246</v>
      </c>
      <c r="F78">
        <v>61</v>
      </c>
      <c r="G78" t="s">
        <v>24</v>
      </c>
      <c r="H78" t="str">
        <f>VLOOKUP(EmployeeData[[#This Row],[Dept Code]],Lookup_Departments!$A$1:$B$7,2,FALSE)</f>
        <v>Information Technology</v>
      </c>
      <c r="I78" s="7">
        <f ca="1">YEARFRAC(EmployeeData[[#This Row],[Hire Date]],TODAY())</f>
        <v>9.3861111111111111</v>
      </c>
      <c r="J78" t="str">
        <f>VLOOKUP(EmployeeData[[#This Row],[Perf_Score]],Lookup_Performance!$A$2:$C$6,3,TRUE)</f>
        <v>Developing</v>
      </c>
      <c r="K78" s="22">
        <f>VLOOKUP(EmployeeData[[#This Row],[Performance Band]],Lookup_Performance!$C$1:$D$6,2,FALSE)</f>
        <v>0.02</v>
      </c>
      <c r="L78" s="13">
        <f>EmployeeData[[#This Row],[Salary]]*EmployeeData[[#This Row],[Bonus Percent]]</f>
        <v>1724.92</v>
      </c>
    </row>
    <row r="79" spans="1:12" x14ac:dyDescent="0.3">
      <c r="A79" t="s">
        <v>96</v>
      </c>
      <c r="B79" s="3" t="s">
        <v>196</v>
      </c>
      <c r="C79" t="s">
        <v>23</v>
      </c>
      <c r="D79" s="10">
        <v>44446</v>
      </c>
      <c r="E79" s="12">
        <v>70359</v>
      </c>
      <c r="F79">
        <v>74</v>
      </c>
      <c r="G79" t="s">
        <v>15</v>
      </c>
      <c r="H79" t="str">
        <f>VLOOKUP(EmployeeData[[#This Row],[Dept Code]],Lookup_Departments!$A$1:$B$7,2,FALSE)</f>
        <v>Sales</v>
      </c>
      <c r="I79" s="7">
        <f ca="1">YEARFRAC(EmployeeData[[#This Row],[Hire Date]],TODAY())</f>
        <v>4.8361111111111112</v>
      </c>
      <c r="J79" t="str">
        <f>VLOOKUP(EmployeeData[[#This Row],[Perf_Score]],Lookup_Performance!$A$2:$C$6,3,TRUE)</f>
        <v>Achieving</v>
      </c>
      <c r="K79" s="22">
        <f>VLOOKUP(EmployeeData[[#This Row],[Performance Band]],Lookup_Performance!$C$1:$D$6,2,FALSE)</f>
        <v>0.05</v>
      </c>
      <c r="L79" s="13">
        <f>EmployeeData[[#This Row],[Salary]]*EmployeeData[[#This Row],[Bonus Percent]]</f>
        <v>3517.9500000000003</v>
      </c>
    </row>
    <row r="80" spans="1:12" x14ac:dyDescent="0.3">
      <c r="A80" t="s">
        <v>97</v>
      </c>
      <c r="B80" s="2" t="s">
        <v>219</v>
      </c>
      <c r="C80" t="s">
        <v>9</v>
      </c>
      <c r="D80" s="10">
        <v>43599</v>
      </c>
      <c r="E80" s="12">
        <v>82713.428571428594</v>
      </c>
      <c r="F80">
        <v>94</v>
      </c>
      <c r="G80" t="s">
        <v>24</v>
      </c>
      <c r="H80" t="str">
        <f>VLOOKUP(EmployeeData[[#This Row],[Dept Code]],Lookup_Departments!$A$1:$B$7,2,FALSE)</f>
        <v>Marketing</v>
      </c>
      <c r="I80" s="7">
        <f ca="1">YEARFRAC(EmployeeData[[#This Row],[Hire Date]],TODAY())</f>
        <v>7.15</v>
      </c>
      <c r="J80" t="str">
        <f>VLOOKUP(EmployeeData[[#This Row],[Perf_Score]],Lookup_Performance!$A$2:$C$6,3,TRUE)</f>
        <v>Exceeding</v>
      </c>
      <c r="K80" s="22">
        <f>VLOOKUP(EmployeeData[[#This Row],[Performance Band]],Lookup_Performance!$C$1:$D$6,2,FALSE)</f>
        <v>0.08</v>
      </c>
      <c r="L80" s="13">
        <f>EmployeeData[[#This Row],[Salary]]*EmployeeData[[#This Row],[Bonus Percent]]</f>
        <v>6617.0742857142877</v>
      </c>
    </row>
    <row r="81" spans="1:12" x14ac:dyDescent="0.3">
      <c r="A81" t="s">
        <v>98</v>
      </c>
      <c r="B81" s="3" t="s">
        <v>250</v>
      </c>
      <c r="C81" t="s">
        <v>17</v>
      </c>
      <c r="D81" s="10">
        <v>42330</v>
      </c>
      <c r="E81" s="12">
        <v>86480</v>
      </c>
      <c r="F81">
        <v>68</v>
      </c>
      <c r="G81" t="s">
        <v>24</v>
      </c>
      <c r="H81" t="str">
        <f>VLOOKUP(EmployeeData[[#This Row],[Dept Code]],Lookup_Departments!$A$1:$B$7,2,FALSE)</f>
        <v>Operations</v>
      </c>
      <c r="I81" s="7">
        <f ca="1">YEARFRAC(EmployeeData[[#This Row],[Hire Date]],TODAY())</f>
        <v>10.627777777777778</v>
      </c>
      <c r="J81" t="str">
        <f>VLOOKUP(EmployeeData[[#This Row],[Perf_Score]],Lookup_Performance!$A$2:$C$6,3,TRUE)</f>
        <v>Developing</v>
      </c>
      <c r="K81" s="22">
        <f>VLOOKUP(EmployeeData[[#This Row],[Performance Band]],Lookup_Performance!$C$1:$D$6,2,FALSE)</f>
        <v>0.02</v>
      </c>
      <c r="L81" s="13">
        <f>EmployeeData[[#This Row],[Salary]]*EmployeeData[[#This Row],[Bonus Percent]]</f>
        <v>1729.6000000000001</v>
      </c>
    </row>
    <row r="82" spans="1:12" x14ac:dyDescent="0.3">
      <c r="A82" t="s">
        <v>99</v>
      </c>
      <c r="B82" s="2" t="s">
        <v>251</v>
      </c>
      <c r="C82" t="s">
        <v>51</v>
      </c>
      <c r="D82" s="10">
        <v>43372</v>
      </c>
      <c r="E82" s="12">
        <v>47694</v>
      </c>
      <c r="F82">
        <v>75</v>
      </c>
      <c r="G82" t="s">
        <v>24</v>
      </c>
      <c r="H82" t="str">
        <f>VLOOKUP(EmployeeData[[#This Row],[Dept Code]],Lookup_Departments!$A$1:$B$7,2,FALSE)</f>
        <v>Human Resources</v>
      </c>
      <c r="I82" s="7">
        <f ca="1">YEARFRAC(EmployeeData[[#This Row],[Hire Date]],TODAY())</f>
        <v>7.7750000000000004</v>
      </c>
      <c r="J82" t="str">
        <f>VLOOKUP(EmployeeData[[#This Row],[Perf_Score]],Lookup_Performance!$A$2:$C$6,3,TRUE)</f>
        <v>Achieving</v>
      </c>
      <c r="K82" s="22">
        <f>VLOOKUP(EmployeeData[[#This Row],[Performance Band]],Lookup_Performance!$C$1:$D$6,2,FALSE)</f>
        <v>0.05</v>
      </c>
      <c r="L82" s="13">
        <f>EmployeeData[[#This Row],[Salary]]*EmployeeData[[#This Row],[Bonus Percent]]</f>
        <v>2384.7000000000003</v>
      </c>
    </row>
    <row r="83" spans="1:12" x14ac:dyDescent="0.3">
      <c r="A83" t="s">
        <v>100</v>
      </c>
      <c r="B83" s="3" t="s">
        <v>252</v>
      </c>
      <c r="C83" t="s">
        <v>7</v>
      </c>
      <c r="D83" s="10">
        <v>44966</v>
      </c>
      <c r="E83" s="12">
        <v>83724</v>
      </c>
      <c r="F83">
        <v>81</v>
      </c>
      <c r="G83" t="s">
        <v>61</v>
      </c>
      <c r="H83" t="str">
        <f>VLOOKUP(EmployeeData[[#This Row],[Dept Code]],Lookup_Departments!$A$1:$B$7,2,FALSE)</f>
        <v>Information Technology</v>
      </c>
      <c r="I83" s="7">
        <f ca="1">YEARFRAC(EmployeeData[[#This Row],[Hire Date]],TODAY())</f>
        <v>3.4138888888888888</v>
      </c>
      <c r="J83" t="str">
        <f>VLOOKUP(EmployeeData[[#This Row],[Perf_Score]],Lookup_Performance!$A$2:$C$6,3,TRUE)</f>
        <v>Achieving</v>
      </c>
      <c r="K83" s="22">
        <f>VLOOKUP(EmployeeData[[#This Row],[Performance Band]],Lookup_Performance!$C$1:$D$6,2,FALSE)</f>
        <v>0.05</v>
      </c>
      <c r="L83" s="13">
        <f>EmployeeData[[#This Row],[Salary]]*EmployeeData[[#This Row],[Bonus Percent]]</f>
        <v>4186.2</v>
      </c>
    </row>
    <row r="84" spans="1:12" x14ac:dyDescent="0.3">
      <c r="A84" t="s">
        <v>101</v>
      </c>
      <c r="B84" s="2" t="s">
        <v>253</v>
      </c>
      <c r="C84" t="s">
        <v>12</v>
      </c>
      <c r="D84" s="10">
        <v>44759</v>
      </c>
      <c r="E84" s="12">
        <v>98299</v>
      </c>
      <c r="F84">
        <v>61</v>
      </c>
      <c r="G84" t="s">
        <v>24</v>
      </c>
      <c r="H84" t="str">
        <f>VLOOKUP(EmployeeData[[#This Row],[Dept Code]],Lookup_Departments!$A$1:$B$7,2,FALSE)</f>
        <v>Finance</v>
      </c>
      <c r="I84" s="7">
        <f ca="1">YEARFRAC(EmployeeData[[#This Row],[Hire Date]],TODAY())</f>
        <v>3.9750000000000001</v>
      </c>
      <c r="J84" t="str">
        <f>VLOOKUP(EmployeeData[[#This Row],[Perf_Score]],Lookup_Performance!$A$2:$C$6,3,TRUE)</f>
        <v>Developing</v>
      </c>
      <c r="K84" s="22">
        <f>VLOOKUP(EmployeeData[[#This Row],[Performance Band]],Lookup_Performance!$C$1:$D$6,2,FALSE)</f>
        <v>0.02</v>
      </c>
      <c r="L84" s="13">
        <f>EmployeeData[[#This Row],[Salary]]*EmployeeData[[#This Row],[Bonus Percent]]</f>
        <v>1965.98</v>
      </c>
    </row>
    <row r="85" spans="1:12" x14ac:dyDescent="0.3">
      <c r="A85" t="s">
        <v>102</v>
      </c>
      <c r="B85" s="3" t="s">
        <v>254</v>
      </c>
      <c r="C85" t="s">
        <v>12</v>
      </c>
      <c r="D85" s="10">
        <v>39134</v>
      </c>
      <c r="E85" s="12">
        <v>82713.428571428594</v>
      </c>
      <c r="F85">
        <v>68</v>
      </c>
      <c r="G85" t="s">
        <v>24</v>
      </c>
      <c r="H85" t="str">
        <f>VLOOKUP(EmployeeData[[#This Row],[Dept Code]],Lookup_Departments!$A$1:$B$7,2,FALSE)</f>
        <v>Finance</v>
      </c>
      <c r="I85" s="7">
        <f ca="1">YEARFRAC(EmployeeData[[#This Row],[Hire Date]],TODAY())</f>
        <v>19.380555555555556</v>
      </c>
      <c r="J85" t="str">
        <f>VLOOKUP(EmployeeData[[#This Row],[Perf_Score]],Lookup_Performance!$A$2:$C$6,3,TRUE)</f>
        <v>Developing</v>
      </c>
      <c r="K85" s="22">
        <f>VLOOKUP(EmployeeData[[#This Row],[Performance Band]],Lookup_Performance!$C$1:$D$6,2,FALSE)</f>
        <v>0.02</v>
      </c>
      <c r="L85" s="13">
        <f>EmployeeData[[#This Row],[Salary]]*EmployeeData[[#This Row],[Bonus Percent]]</f>
        <v>1654.2685714285719</v>
      </c>
    </row>
    <row r="86" spans="1:12" x14ac:dyDescent="0.3">
      <c r="A86" t="s">
        <v>103</v>
      </c>
      <c r="B86" s="2" t="s">
        <v>255</v>
      </c>
      <c r="C86" t="s">
        <v>7</v>
      </c>
      <c r="D86" s="10">
        <v>45203</v>
      </c>
      <c r="E86" s="12">
        <v>52287</v>
      </c>
      <c r="F86">
        <v>70</v>
      </c>
      <c r="G86" t="s">
        <v>24</v>
      </c>
      <c r="H86" t="str">
        <f>VLOOKUP(EmployeeData[[#This Row],[Dept Code]],Lookup_Departments!$A$1:$B$7,2,FALSE)</f>
        <v>Information Technology</v>
      </c>
      <c r="I86" s="7">
        <f ca="1">YEARFRAC(EmployeeData[[#This Row],[Hire Date]],TODAY())</f>
        <v>2.7611111111111111</v>
      </c>
      <c r="J86" t="str">
        <f>VLOOKUP(EmployeeData[[#This Row],[Perf_Score]],Lookup_Performance!$A$2:$C$6,3,TRUE)</f>
        <v>Achieving</v>
      </c>
      <c r="K86" s="22">
        <f>VLOOKUP(EmployeeData[[#This Row],[Performance Band]],Lookup_Performance!$C$1:$D$6,2,FALSE)</f>
        <v>0.05</v>
      </c>
      <c r="L86" s="13">
        <f>EmployeeData[[#This Row],[Salary]]*EmployeeData[[#This Row],[Bonus Percent]]</f>
        <v>2614.3500000000004</v>
      </c>
    </row>
    <row r="87" spans="1:12" x14ac:dyDescent="0.3">
      <c r="A87" t="s">
        <v>104</v>
      </c>
      <c r="B87" s="3" t="s">
        <v>242</v>
      </c>
      <c r="C87" t="s">
        <v>7</v>
      </c>
      <c r="D87" s="10">
        <v>44073</v>
      </c>
      <c r="E87" s="12">
        <v>82633</v>
      </c>
      <c r="F87">
        <v>98</v>
      </c>
      <c r="G87" t="s">
        <v>24</v>
      </c>
      <c r="H87" t="str">
        <f>VLOOKUP(EmployeeData[[#This Row],[Dept Code]],Lookup_Departments!$A$1:$B$7,2,FALSE)</f>
        <v>Information Technology</v>
      </c>
      <c r="I87" s="7">
        <f ca="1">YEARFRAC(EmployeeData[[#This Row],[Hire Date]],TODAY())</f>
        <v>5.8555555555555552</v>
      </c>
      <c r="J87" t="str">
        <f>VLOOKUP(EmployeeData[[#This Row],[Perf_Score]],Lookup_Performance!$A$2:$C$6,3,TRUE)</f>
        <v>Outstanding</v>
      </c>
      <c r="K87" s="22">
        <f>VLOOKUP(EmployeeData[[#This Row],[Performance Band]],Lookup_Performance!$C$1:$D$6,2,FALSE)</f>
        <v>0.12</v>
      </c>
      <c r="L87" s="13">
        <f>EmployeeData[[#This Row],[Salary]]*EmployeeData[[#This Row],[Bonus Percent]]</f>
        <v>9915.9599999999991</v>
      </c>
    </row>
    <row r="88" spans="1:12" x14ac:dyDescent="0.3">
      <c r="A88" t="s">
        <v>105</v>
      </c>
      <c r="B88" s="2" t="s">
        <v>256</v>
      </c>
      <c r="C88" t="s">
        <v>17</v>
      </c>
      <c r="D88" s="10">
        <v>44422</v>
      </c>
      <c r="E88" s="12">
        <v>46508</v>
      </c>
      <c r="F88">
        <v>34</v>
      </c>
      <c r="G88" t="s">
        <v>24</v>
      </c>
      <c r="H88" t="str">
        <f>VLOOKUP(EmployeeData[[#This Row],[Dept Code]],Lookup_Departments!$A$1:$B$7,2,FALSE)</f>
        <v>Operations</v>
      </c>
      <c r="I88" s="7">
        <f ca="1">YEARFRAC(EmployeeData[[#This Row],[Hire Date]],TODAY())</f>
        <v>4.9000000000000004</v>
      </c>
      <c r="J88" t="str">
        <f>VLOOKUP(EmployeeData[[#This Row],[Perf_Score]],Lookup_Performance!$A$2:$C$6,3,TRUE)</f>
        <v>Needs Improvement</v>
      </c>
      <c r="K88" s="22">
        <f>VLOOKUP(EmployeeData[[#This Row],[Performance Band]],Lookup_Performance!$C$1:$D$6,2,FALSE)</f>
        <v>0</v>
      </c>
      <c r="L88" s="13">
        <f>EmployeeData[[#This Row],[Salary]]*EmployeeData[[#This Row],[Bonus Percent]]</f>
        <v>0</v>
      </c>
    </row>
    <row r="89" spans="1:12" x14ac:dyDescent="0.3">
      <c r="A89" t="s">
        <v>106</v>
      </c>
      <c r="B89" s="3" t="s">
        <v>189</v>
      </c>
      <c r="C89" t="s">
        <v>51</v>
      </c>
      <c r="D89" s="10">
        <v>46710</v>
      </c>
      <c r="E89" s="12">
        <v>86232</v>
      </c>
      <c r="F89">
        <v>93</v>
      </c>
      <c r="G89" t="s">
        <v>24</v>
      </c>
      <c r="H89" t="str">
        <f>VLOOKUP(EmployeeData[[#This Row],[Dept Code]],Lookup_Departments!$A$1:$B$7,2,FALSE)</f>
        <v>Human Resources</v>
      </c>
      <c r="I89" s="7">
        <f ca="1">YEARFRAC(EmployeeData[[#This Row],[Hire Date]],TODAY())</f>
        <v>1.3638888888888889</v>
      </c>
      <c r="J89" t="str">
        <f>VLOOKUP(EmployeeData[[#This Row],[Perf_Score]],Lookup_Performance!$A$2:$C$6,3,TRUE)</f>
        <v>Exceeding</v>
      </c>
      <c r="K89" s="22">
        <f>VLOOKUP(EmployeeData[[#This Row],[Performance Band]],Lookup_Performance!$C$1:$D$6,2,FALSE)</f>
        <v>0.08</v>
      </c>
      <c r="L89" s="13">
        <f>EmployeeData[[#This Row],[Salary]]*EmployeeData[[#This Row],[Bonus Percent]]</f>
        <v>6898.56</v>
      </c>
    </row>
    <row r="90" spans="1:12" x14ac:dyDescent="0.3">
      <c r="A90" t="s">
        <v>107</v>
      </c>
      <c r="B90" s="2" t="s">
        <v>230</v>
      </c>
      <c r="C90" t="s">
        <v>7</v>
      </c>
      <c r="D90" s="10">
        <v>45794</v>
      </c>
      <c r="E90" s="12">
        <v>77545</v>
      </c>
      <c r="F90">
        <v>48</v>
      </c>
      <c r="G90" t="s">
        <v>24</v>
      </c>
      <c r="H90" t="str">
        <f>VLOOKUP(EmployeeData[[#This Row],[Dept Code]],Lookup_Departments!$A$1:$B$7,2,FALSE)</f>
        <v>Information Technology</v>
      </c>
      <c r="I90" s="7">
        <f ca="1">YEARFRAC(EmployeeData[[#This Row],[Hire Date]],TODAY())</f>
        <v>1.1416666666666666</v>
      </c>
      <c r="J90" t="str">
        <f>VLOOKUP(EmployeeData[[#This Row],[Perf_Score]],Lookup_Performance!$A$2:$C$6,3,TRUE)</f>
        <v>Needs Improvement</v>
      </c>
      <c r="K90" s="22">
        <f>VLOOKUP(EmployeeData[[#This Row],[Performance Band]],Lookup_Performance!$C$1:$D$6,2,FALSE)</f>
        <v>0</v>
      </c>
      <c r="L90" s="13">
        <f>EmployeeData[[#This Row],[Salary]]*EmployeeData[[#This Row],[Bonus Percent]]</f>
        <v>0</v>
      </c>
    </row>
    <row r="91" spans="1:12" x14ac:dyDescent="0.3">
      <c r="A91" t="s">
        <v>108</v>
      </c>
      <c r="B91" s="3" t="s">
        <v>257</v>
      </c>
      <c r="C91" t="s">
        <v>17</v>
      </c>
      <c r="D91" s="10">
        <v>43143</v>
      </c>
      <c r="E91" s="12">
        <v>68683</v>
      </c>
      <c r="F91">
        <v>90</v>
      </c>
      <c r="G91" t="s">
        <v>24</v>
      </c>
      <c r="H91" t="str">
        <f>VLOOKUP(EmployeeData[[#This Row],[Dept Code]],Lookup_Departments!$A$1:$B$7,2,FALSE)</f>
        <v>Operations</v>
      </c>
      <c r="I91" s="7">
        <f ca="1">YEARFRAC(EmployeeData[[#This Row],[Hire Date]],TODAY())</f>
        <v>8.405555555555555</v>
      </c>
      <c r="J91" t="str">
        <f>VLOOKUP(EmployeeData[[#This Row],[Perf_Score]],Lookup_Performance!$A$2:$C$6,3,TRUE)</f>
        <v>Exceeding</v>
      </c>
      <c r="K91" s="22">
        <f>VLOOKUP(EmployeeData[[#This Row],[Performance Band]],Lookup_Performance!$C$1:$D$6,2,FALSE)</f>
        <v>0.08</v>
      </c>
      <c r="L91" s="13">
        <f>EmployeeData[[#This Row],[Salary]]*EmployeeData[[#This Row],[Bonus Percent]]</f>
        <v>5494.64</v>
      </c>
    </row>
    <row r="92" spans="1:12" x14ac:dyDescent="0.3">
      <c r="A92" t="s">
        <v>109</v>
      </c>
      <c r="B92" s="2" t="s">
        <v>240</v>
      </c>
      <c r="C92" t="s">
        <v>12</v>
      </c>
      <c r="D92" s="10">
        <v>43639</v>
      </c>
      <c r="E92" s="12">
        <v>83932</v>
      </c>
      <c r="F92">
        <v>57</v>
      </c>
      <c r="G92" t="s">
        <v>15</v>
      </c>
      <c r="H92" t="str">
        <f>VLOOKUP(EmployeeData[[#This Row],[Dept Code]],Lookup_Departments!$A$1:$B$7,2,FALSE)</f>
        <v>Finance</v>
      </c>
      <c r="I92" s="7">
        <f ca="1">YEARFRAC(EmployeeData[[#This Row],[Hire Date]],TODAY())</f>
        <v>7.041666666666667</v>
      </c>
      <c r="J92" t="str">
        <f>VLOOKUP(EmployeeData[[#This Row],[Perf_Score]],Lookup_Performance!$A$2:$C$6,3,TRUE)</f>
        <v>Developing</v>
      </c>
      <c r="K92" s="22">
        <f>VLOOKUP(EmployeeData[[#This Row],[Performance Band]],Lookup_Performance!$C$1:$D$6,2,FALSE)</f>
        <v>0.02</v>
      </c>
      <c r="L92" s="13">
        <f>EmployeeData[[#This Row],[Salary]]*EmployeeData[[#This Row],[Bonus Percent]]</f>
        <v>1678.64</v>
      </c>
    </row>
    <row r="93" spans="1:12" x14ac:dyDescent="0.3">
      <c r="A93" t="s">
        <v>110</v>
      </c>
      <c r="B93" s="3" t="s">
        <v>258</v>
      </c>
      <c r="C93" t="s">
        <v>51</v>
      </c>
      <c r="D93" s="10">
        <v>42304</v>
      </c>
      <c r="E93" s="12">
        <v>56073</v>
      </c>
      <c r="F93">
        <v>79</v>
      </c>
      <c r="G93" t="s">
        <v>24</v>
      </c>
      <c r="H93" t="str">
        <f>VLOOKUP(EmployeeData[[#This Row],[Dept Code]],Lookup_Departments!$A$1:$B$7,2,FALSE)</f>
        <v>Human Resources</v>
      </c>
      <c r="I93" s="7">
        <f ca="1">YEARFRAC(EmployeeData[[#This Row],[Hire Date]],TODAY())</f>
        <v>10.697222222222223</v>
      </c>
      <c r="J93" t="str">
        <f>VLOOKUP(EmployeeData[[#This Row],[Perf_Score]],Lookup_Performance!$A$2:$C$6,3,TRUE)</f>
        <v>Achieving</v>
      </c>
      <c r="K93" s="22">
        <f>VLOOKUP(EmployeeData[[#This Row],[Performance Band]],Lookup_Performance!$C$1:$D$6,2,FALSE)</f>
        <v>0.05</v>
      </c>
      <c r="L93" s="13">
        <f>EmployeeData[[#This Row],[Salary]]*EmployeeData[[#This Row],[Bonus Percent]]</f>
        <v>2803.65</v>
      </c>
    </row>
    <row r="94" spans="1:12" x14ac:dyDescent="0.3">
      <c r="A94" t="s">
        <v>111</v>
      </c>
      <c r="B94" s="2" t="s">
        <v>226</v>
      </c>
      <c r="C94" t="s">
        <v>7</v>
      </c>
      <c r="D94" s="10">
        <v>43270</v>
      </c>
      <c r="E94" s="12">
        <v>88056</v>
      </c>
      <c r="F94">
        <v>66</v>
      </c>
      <c r="G94" t="s">
        <v>24</v>
      </c>
      <c r="H94" t="str">
        <f>VLOOKUP(EmployeeData[[#This Row],[Dept Code]],Lookup_Departments!$A$1:$B$7,2,FALSE)</f>
        <v>Information Technology</v>
      </c>
      <c r="I94" s="7">
        <f ca="1">YEARFRAC(EmployeeData[[#This Row],[Hire Date]],TODAY())</f>
        <v>8.0527777777777771</v>
      </c>
      <c r="J94" t="str">
        <f>VLOOKUP(EmployeeData[[#This Row],[Perf_Score]],Lookup_Performance!$A$2:$C$6,3,TRUE)</f>
        <v>Developing</v>
      </c>
      <c r="K94" s="22">
        <f>VLOOKUP(EmployeeData[[#This Row],[Performance Band]],Lookup_Performance!$C$1:$D$6,2,FALSE)</f>
        <v>0.02</v>
      </c>
      <c r="L94" s="13">
        <f>EmployeeData[[#This Row],[Salary]]*EmployeeData[[#This Row],[Bonus Percent]]</f>
        <v>1761.1200000000001</v>
      </c>
    </row>
    <row r="95" spans="1:12" x14ac:dyDescent="0.3">
      <c r="A95" t="s">
        <v>112</v>
      </c>
      <c r="B95" s="3" t="s">
        <v>259</v>
      </c>
      <c r="C95" t="s">
        <v>17</v>
      </c>
      <c r="D95" s="10">
        <v>43435</v>
      </c>
      <c r="E95" s="12">
        <v>67414</v>
      </c>
      <c r="F95">
        <v>84</v>
      </c>
      <c r="G95" t="s">
        <v>15</v>
      </c>
      <c r="H95" t="str">
        <f>VLOOKUP(EmployeeData[[#This Row],[Dept Code]],Lookup_Departments!$A$1:$B$7,2,FALSE)</f>
        <v>Operations</v>
      </c>
      <c r="I95" s="7">
        <f ca="1">YEARFRAC(EmployeeData[[#This Row],[Hire Date]],TODAY())</f>
        <v>7.6027777777777779</v>
      </c>
      <c r="J95" t="str">
        <f>VLOOKUP(EmployeeData[[#This Row],[Perf_Score]],Lookup_Performance!$A$2:$C$6,3,TRUE)</f>
        <v>Achieving</v>
      </c>
      <c r="K95" s="22">
        <f>VLOOKUP(EmployeeData[[#This Row],[Performance Band]],Lookup_Performance!$C$1:$D$6,2,FALSE)</f>
        <v>0.05</v>
      </c>
      <c r="L95" s="13">
        <f>EmployeeData[[#This Row],[Salary]]*EmployeeData[[#This Row],[Bonus Percent]]</f>
        <v>3370.7000000000003</v>
      </c>
    </row>
    <row r="96" spans="1:12" x14ac:dyDescent="0.3">
      <c r="A96" t="s">
        <v>113</v>
      </c>
      <c r="B96" s="2" t="s">
        <v>257</v>
      </c>
      <c r="C96" t="s">
        <v>23</v>
      </c>
      <c r="D96" s="10">
        <v>42095</v>
      </c>
      <c r="E96" s="12">
        <v>115288</v>
      </c>
      <c r="F96">
        <v>61</v>
      </c>
      <c r="G96" t="s">
        <v>24</v>
      </c>
      <c r="H96" t="str">
        <f>VLOOKUP(EmployeeData[[#This Row],[Dept Code]],Lookup_Departments!$A$1:$B$7,2,FALSE)</f>
        <v>Sales</v>
      </c>
      <c r="I96" s="7">
        <f ca="1">YEARFRAC(EmployeeData[[#This Row],[Hire Date]],TODAY())</f>
        <v>11.269444444444444</v>
      </c>
      <c r="J96" t="str">
        <f>VLOOKUP(EmployeeData[[#This Row],[Perf_Score]],Lookup_Performance!$A$2:$C$6,3,TRUE)</f>
        <v>Developing</v>
      </c>
      <c r="K96" s="22">
        <f>VLOOKUP(EmployeeData[[#This Row],[Performance Band]],Lookup_Performance!$C$1:$D$6,2,FALSE)</f>
        <v>0.02</v>
      </c>
      <c r="L96" s="13">
        <f>EmployeeData[[#This Row],[Salary]]*EmployeeData[[#This Row],[Bonus Percent]]</f>
        <v>2305.7600000000002</v>
      </c>
    </row>
    <row r="97" spans="1:12" x14ac:dyDescent="0.3">
      <c r="A97" t="s">
        <v>114</v>
      </c>
      <c r="B97" s="3" t="s">
        <v>14</v>
      </c>
      <c r="C97" t="s">
        <v>23</v>
      </c>
      <c r="D97" s="10">
        <v>43232</v>
      </c>
      <c r="E97" s="12">
        <v>80140</v>
      </c>
      <c r="F97">
        <v>58</v>
      </c>
      <c r="G97" t="s">
        <v>24</v>
      </c>
      <c r="H97" t="str">
        <f>VLOOKUP(EmployeeData[[#This Row],[Dept Code]],Lookup_Departments!$A$1:$B$7,2,FALSE)</f>
        <v>Sales</v>
      </c>
      <c r="I97" s="7">
        <f ca="1">YEARFRAC(EmployeeData[[#This Row],[Hire Date]],TODAY())</f>
        <v>8.155555555555555</v>
      </c>
      <c r="J97" t="str">
        <f>VLOOKUP(EmployeeData[[#This Row],[Perf_Score]],Lookup_Performance!$A$2:$C$6,3,TRUE)</f>
        <v>Developing</v>
      </c>
      <c r="K97" s="22">
        <f>VLOOKUP(EmployeeData[[#This Row],[Performance Band]],Lookup_Performance!$C$1:$D$6,2,FALSE)</f>
        <v>0.02</v>
      </c>
      <c r="L97" s="13">
        <f>EmployeeData[[#This Row],[Salary]]*EmployeeData[[#This Row],[Bonus Percent]]</f>
        <v>1602.8</v>
      </c>
    </row>
    <row r="98" spans="1:12" x14ac:dyDescent="0.3">
      <c r="A98" t="s">
        <v>115</v>
      </c>
      <c r="B98" s="2" t="s">
        <v>255</v>
      </c>
      <c r="C98" t="s">
        <v>7</v>
      </c>
      <c r="D98" s="10">
        <v>44482</v>
      </c>
      <c r="E98" s="12">
        <v>73087</v>
      </c>
      <c r="F98">
        <v>69</v>
      </c>
      <c r="G98" t="s">
        <v>24</v>
      </c>
      <c r="H98" t="str">
        <f>VLOOKUP(EmployeeData[[#This Row],[Dept Code]],Lookup_Departments!$A$1:$B$7,2,FALSE)</f>
        <v>Information Technology</v>
      </c>
      <c r="I98" s="7">
        <f ca="1">YEARFRAC(EmployeeData[[#This Row],[Hire Date]],TODAY())</f>
        <v>4.7361111111111107</v>
      </c>
      <c r="J98" t="str">
        <f>VLOOKUP(EmployeeData[[#This Row],[Perf_Score]],Lookup_Performance!$A$2:$C$6,3,TRUE)</f>
        <v>Developing</v>
      </c>
      <c r="K98" s="22">
        <f>VLOOKUP(EmployeeData[[#This Row],[Performance Band]],Lookup_Performance!$C$1:$D$6,2,FALSE)</f>
        <v>0.02</v>
      </c>
      <c r="L98" s="13">
        <f>EmployeeData[[#This Row],[Salary]]*EmployeeData[[#This Row],[Bonus Percent]]</f>
        <v>1461.74</v>
      </c>
    </row>
    <row r="99" spans="1:12" x14ac:dyDescent="0.3">
      <c r="A99" t="s">
        <v>116</v>
      </c>
      <c r="B99" s="3" t="s">
        <v>260</v>
      </c>
      <c r="C99" t="s">
        <v>23</v>
      </c>
      <c r="D99" s="10">
        <v>44021</v>
      </c>
      <c r="E99" s="12">
        <v>95292</v>
      </c>
      <c r="F99">
        <v>34</v>
      </c>
      <c r="G99" t="s">
        <v>24</v>
      </c>
      <c r="H99" t="str">
        <f>VLOOKUP(EmployeeData[[#This Row],[Dept Code]],Lookup_Departments!$A$1:$B$7,2,FALSE)</f>
        <v>Sales</v>
      </c>
      <c r="I99" s="7">
        <f ca="1">YEARFRAC(EmployeeData[[#This Row],[Hire Date]],TODAY())</f>
        <v>5.9972222222222218</v>
      </c>
      <c r="J99" t="str">
        <f>VLOOKUP(EmployeeData[[#This Row],[Perf_Score]],Lookup_Performance!$A$2:$C$6,3,TRUE)</f>
        <v>Needs Improvement</v>
      </c>
      <c r="K99" s="22">
        <f>VLOOKUP(EmployeeData[[#This Row],[Performance Band]],Lookup_Performance!$C$1:$D$6,2,FALSE)</f>
        <v>0</v>
      </c>
      <c r="L99" s="13">
        <f>EmployeeData[[#This Row],[Salary]]*EmployeeData[[#This Row],[Bonus Percent]]</f>
        <v>0</v>
      </c>
    </row>
    <row r="100" spans="1:12" x14ac:dyDescent="0.3">
      <c r="A100" t="s">
        <v>117</v>
      </c>
      <c r="B100" s="2" t="s">
        <v>261</v>
      </c>
      <c r="C100" t="s">
        <v>7</v>
      </c>
      <c r="D100" s="10">
        <v>43532</v>
      </c>
      <c r="E100" s="12">
        <v>82713.428571428594</v>
      </c>
      <c r="F100">
        <v>33</v>
      </c>
      <c r="G100" t="s">
        <v>24</v>
      </c>
      <c r="H100" t="str">
        <f>VLOOKUP(EmployeeData[[#This Row],[Dept Code]],Lookup_Departments!$A$1:$B$7,2,FALSE)</f>
        <v>Information Technology</v>
      </c>
      <c r="I100" s="7">
        <f ca="1">YEARFRAC(EmployeeData[[#This Row],[Hire Date]],TODAY())</f>
        <v>7.333333333333333</v>
      </c>
      <c r="J100" t="str">
        <f>VLOOKUP(EmployeeData[[#This Row],[Perf_Score]],Lookup_Performance!$A$2:$C$6,3,TRUE)</f>
        <v>Needs Improvement</v>
      </c>
      <c r="K100" s="22">
        <f>VLOOKUP(EmployeeData[[#This Row],[Performance Band]],Lookup_Performance!$C$1:$D$6,2,FALSE)</f>
        <v>0</v>
      </c>
      <c r="L100" s="13">
        <f>EmployeeData[[#This Row],[Salary]]*EmployeeData[[#This Row],[Bonus Percent]]</f>
        <v>0</v>
      </c>
    </row>
    <row r="101" spans="1:12" x14ac:dyDescent="0.3">
      <c r="A101" t="s">
        <v>118</v>
      </c>
      <c r="B101" s="3" t="s">
        <v>262</v>
      </c>
      <c r="C101" t="s">
        <v>9</v>
      </c>
      <c r="D101" s="10">
        <v>40617</v>
      </c>
      <c r="E101" s="12">
        <v>101750</v>
      </c>
      <c r="F101">
        <v>84</v>
      </c>
      <c r="G101" t="s">
        <v>15</v>
      </c>
      <c r="H101" t="str">
        <f>VLOOKUP(EmployeeData[[#This Row],[Dept Code]],Lookup_Departments!$A$1:$B$7,2,FALSE)</f>
        <v>Marketing</v>
      </c>
      <c r="I101" s="7">
        <f ca="1">YEARFRAC(EmployeeData[[#This Row],[Hire Date]],TODAY())</f>
        <v>15.313888888888888</v>
      </c>
      <c r="J101" t="str">
        <f>VLOOKUP(EmployeeData[[#This Row],[Perf_Score]],Lookup_Performance!$A$2:$C$6,3,TRUE)</f>
        <v>Achieving</v>
      </c>
      <c r="K101" s="22">
        <f>VLOOKUP(EmployeeData[[#This Row],[Performance Band]],Lookup_Performance!$C$1:$D$6,2,FALSE)</f>
        <v>0.05</v>
      </c>
      <c r="L101" s="13">
        <f>EmployeeData[[#This Row],[Salary]]*EmployeeData[[#This Row],[Bonus Percent]]</f>
        <v>5087.5</v>
      </c>
    </row>
    <row r="102" spans="1:12" x14ac:dyDescent="0.3">
      <c r="A102" t="s">
        <v>119</v>
      </c>
      <c r="B102" s="2" t="s">
        <v>263</v>
      </c>
      <c r="C102" t="s">
        <v>9</v>
      </c>
      <c r="D102" s="10">
        <v>43513</v>
      </c>
      <c r="E102" s="12">
        <v>82992</v>
      </c>
      <c r="F102">
        <v>79</v>
      </c>
      <c r="G102" t="s">
        <v>24</v>
      </c>
      <c r="H102" t="str">
        <f>VLOOKUP(EmployeeData[[#This Row],[Dept Code]],Lookup_Departments!$A$1:$B$7,2,FALSE)</f>
        <v>Marketing</v>
      </c>
      <c r="I102" s="7">
        <f ca="1">YEARFRAC(EmployeeData[[#This Row],[Hire Date]],TODAY())</f>
        <v>7.3916666666666666</v>
      </c>
      <c r="J102" t="str">
        <f>VLOOKUP(EmployeeData[[#This Row],[Perf_Score]],Lookup_Performance!$A$2:$C$6,3,TRUE)</f>
        <v>Achieving</v>
      </c>
      <c r="K102" s="22">
        <f>VLOOKUP(EmployeeData[[#This Row],[Performance Band]],Lookup_Performance!$C$1:$D$6,2,FALSE)</f>
        <v>0.05</v>
      </c>
      <c r="L102" s="13">
        <f>EmployeeData[[#This Row],[Salary]]*EmployeeData[[#This Row],[Bonus Percent]]</f>
        <v>4149.6000000000004</v>
      </c>
    </row>
    <row r="103" spans="1:12" x14ac:dyDescent="0.3">
      <c r="A103" t="s">
        <v>120</v>
      </c>
      <c r="B103" s="3" t="s">
        <v>264</v>
      </c>
      <c r="C103" t="s">
        <v>7</v>
      </c>
      <c r="D103" s="10">
        <v>45174</v>
      </c>
      <c r="E103" s="12">
        <v>49942</v>
      </c>
      <c r="F103">
        <v>51</v>
      </c>
      <c r="G103" t="s">
        <v>24</v>
      </c>
      <c r="H103" t="str">
        <f>VLOOKUP(EmployeeData[[#This Row],[Dept Code]],Lookup_Departments!$A$1:$B$7,2,FALSE)</f>
        <v>Information Technology</v>
      </c>
      <c r="I103" s="7">
        <f ca="1">YEARFRAC(EmployeeData[[#This Row],[Hire Date]],TODAY())</f>
        <v>2.8416666666666668</v>
      </c>
      <c r="J103" t="str">
        <f>VLOOKUP(EmployeeData[[#This Row],[Perf_Score]],Lookup_Performance!$A$2:$C$6,3,TRUE)</f>
        <v>Developing</v>
      </c>
      <c r="K103" s="22">
        <f>VLOOKUP(EmployeeData[[#This Row],[Performance Band]],Lookup_Performance!$C$1:$D$6,2,FALSE)</f>
        <v>0.02</v>
      </c>
      <c r="L103" s="13">
        <f>EmployeeData[[#This Row],[Salary]]*EmployeeData[[#This Row],[Bonus Percent]]</f>
        <v>998.84</v>
      </c>
    </row>
    <row r="104" spans="1:12" x14ac:dyDescent="0.3">
      <c r="A104" t="s">
        <v>121</v>
      </c>
      <c r="B104" s="2" t="s">
        <v>265</v>
      </c>
      <c r="C104" t="s">
        <v>17</v>
      </c>
      <c r="D104" s="10">
        <v>43122</v>
      </c>
      <c r="E104" s="12">
        <v>89060</v>
      </c>
      <c r="F104">
        <v>58</v>
      </c>
      <c r="G104" t="s">
        <v>24</v>
      </c>
      <c r="H104" t="str">
        <f>VLOOKUP(EmployeeData[[#This Row],[Dept Code]],Lookup_Departments!$A$1:$B$7,2,FALSE)</f>
        <v>Operations</v>
      </c>
      <c r="I104" s="7">
        <f ca="1">YEARFRAC(EmployeeData[[#This Row],[Hire Date]],TODAY())</f>
        <v>8.4611111111111104</v>
      </c>
      <c r="J104" t="str">
        <f>VLOOKUP(EmployeeData[[#This Row],[Perf_Score]],Lookup_Performance!$A$2:$C$6,3,TRUE)</f>
        <v>Developing</v>
      </c>
      <c r="K104" s="22">
        <f>VLOOKUP(EmployeeData[[#This Row],[Performance Band]],Lookup_Performance!$C$1:$D$6,2,FALSE)</f>
        <v>0.02</v>
      </c>
      <c r="L104" s="13">
        <f>EmployeeData[[#This Row],[Salary]]*EmployeeData[[#This Row],[Bonus Percent]]</f>
        <v>1781.2</v>
      </c>
    </row>
    <row r="105" spans="1:12" x14ac:dyDescent="0.3">
      <c r="A105" t="s">
        <v>122</v>
      </c>
      <c r="B105" s="3" t="s">
        <v>246</v>
      </c>
      <c r="C105" t="s">
        <v>7</v>
      </c>
      <c r="D105" s="10">
        <v>43879</v>
      </c>
      <c r="E105" s="12">
        <v>53786</v>
      </c>
      <c r="F105">
        <v>98</v>
      </c>
      <c r="G105" t="s">
        <v>24</v>
      </c>
      <c r="H105" t="str">
        <f>VLOOKUP(EmployeeData[[#This Row],[Dept Code]],Lookup_Departments!$A$1:$B$7,2,FALSE)</f>
        <v>Information Technology</v>
      </c>
      <c r="I105" s="7">
        <f ca="1">YEARFRAC(EmployeeData[[#This Row],[Hire Date]],TODAY())</f>
        <v>6.3888888888888893</v>
      </c>
      <c r="J105" t="str">
        <f>VLOOKUP(EmployeeData[[#This Row],[Perf_Score]],Lookup_Performance!$A$2:$C$6,3,TRUE)</f>
        <v>Outstanding</v>
      </c>
      <c r="K105" s="22">
        <f>VLOOKUP(EmployeeData[[#This Row],[Performance Band]],Lookup_Performance!$C$1:$D$6,2,FALSE)</f>
        <v>0.12</v>
      </c>
      <c r="L105" s="13">
        <f>EmployeeData[[#This Row],[Salary]]*EmployeeData[[#This Row],[Bonus Percent]]</f>
        <v>6454.32</v>
      </c>
    </row>
    <row r="106" spans="1:12" x14ac:dyDescent="0.3">
      <c r="A106" t="s">
        <v>123</v>
      </c>
      <c r="B106" s="2" t="s">
        <v>192</v>
      </c>
      <c r="C106" t="s">
        <v>17</v>
      </c>
      <c r="D106" s="10">
        <v>42512</v>
      </c>
      <c r="E106" s="12">
        <v>81167</v>
      </c>
      <c r="F106">
        <v>68</v>
      </c>
      <c r="G106" t="s">
        <v>24</v>
      </c>
      <c r="H106" t="str">
        <f>VLOOKUP(EmployeeData[[#This Row],[Dept Code]],Lookup_Departments!$A$1:$B$7,2,FALSE)</f>
        <v>Operations</v>
      </c>
      <c r="I106" s="7">
        <f ca="1">YEARFRAC(EmployeeData[[#This Row],[Hire Date]],TODAY())</f>
        <v>10.127777777777778</v>
      </c>
      <c r="J106" t="str">
        <f>VLOOKUP(EmployeeData[[#This Row],[Perf_Score]],Lookup_Performance!$A$2:$C$6,3,TRUE)</f>
        <v>Developing</v>
      </c>
      <c r="K106" s="22">
        <f>VLOOKUP(EmployeeData[[#This Row],[Performance Band]],Lookup_Performance!$C$1:$D$6,2,FALSE)</f>
        <v>0.02</v>
      </c>
      <c r="L106" s="13">
        <f>EmployeeData[[#This Row],[Salary]]*EmployeeData[[#This Row],[Bonus Percent]]</f>
        <v>1623.3400000000001</v>
      </c>
    </row>
    <row r="107" spans="1:12" x14ac:dyDescent="0.3">
      <c r="A107" t="s">
        <v>124</v>
      </c>
      <c r="B107" s="3" t="s">
        <v>266</v>
      </c>
      <c r="C107" t="s">
        <v>9</v>
      </c>
      <c r="D107" s="10">
        <v>44233</v>
      </c>
      <c r="E107" s="12">
        <v>66688</v>
      </c>
      <c r="F107">
        <v>40</v>
      </c>
      <c r="G107" t="s">
        <v>15</v>
      </c>
      <c r="H107" t="str">
        <f>VLOOKUP(EmployeeData[[#This Row],[Dept Code]],Lookup_Departments!$A$1:$B$7,2,FALSE)</f>
        <v>Marketing</v>
      </c>
      <c r="I107" s="7">
        <f ca="1">YEARFRAC(EmployeeData[[#This Row],[Hire Date]],TODAY())</f>
        <v>5.4222222222222225</v>
      </c>
      <c r="J107" t="str">
        <f>VLOOKUP(EmployeeData[[#This Row],[Perf_Score]],Lookup_Performance!$A$2:$C$6,3,TRUE)</f>
        <v>Needs Improvement</v>
      </c>
      <c r="K107" s="22">
        <f>VLOOKUP(EmployeeData[[#This Row],[Performance Band]],Lookup_Performance!$C$1:$D$6,2,FALSE)</f>
        <v>0</v>
      </c>
      <c r="L107" s="13">
        <f>EmployeeData[[#This Row],[Salary]]*EmployeeData[[#This Row],[Bonus Percent]]</f>
        <v>0</v>
      </c>
    </row>
    <row r="108" spans="1:12" x14ac:dyDescent="0.3">
      <c r="A108" t="s">
        <v>125</v>
      </c>
      <c r="B108" s="2" t="s">
        <v>267</v>
      </c>
      <c r="C108" t="s">
        <v>7</v>
      </c>
      <c r="D108" s="10">
        <v>44394</v>
      </c>
      <c r="E108" s="12">
        <v>91672</v>
      </c>
      <c r="F108">
        <v>88</v>
      </c>
      <c r="G108" t="s">
        <v>24</v>
      </c>
      <c r="H108" t="str">
        <f>VLOOKUP(EmployeeData[[#This Row],[Dept Code]],Lookup_Departments!$A$1:$B$7,2,FALSE)</f>
        <v>Information Technology</v>
      </c>
      <c r="I108" s="7">
        <f ca="1">YEARFRAC(EmployeeData[[#This Row],[Hire Date]],TODAY())</f>
        <v>4.9749999999999996</v>
      </c>
      <c r="J108" t="str">
        <f>VLOOKUP(EmployeeData[[#This Row],[Perf_Score]],Lookup_Performance!$A$2:$C$6,3,TRUE)</f>
        <v>Exceeding</v>
      </c>
      <c r="K108" s="22">
        <f>VLOOKUP(EmployeeData[[#This Row],[Performance Band]],Lookup_Performance!$C$1:$D$6,2,FALSE)</f>
        <v>0.08</v>
      </c>
      <c r="L108" s="13">
        <f>EmployeeData[[#This Row],[Salary]]*EmployeeData[[#This Row],[Bonus Percent]]</f>
        <v>7333.76</v>
      </c>
    </row>
    <row r="109" spans="1:12" x14ac:dyDescent="0.3">
      <c r="A109" t="s">
        <v>126</v>
      </c>
      <c r="B109" s="3" t="s">
        <v>268</v>
      </c>
      <c r="C109" t="s">
        <v>51</v>
      </c>
      <c r="D109" s="10">
        <v>41594</v>
      </c>
      <c r="E109" s="12">
        <v>77737</v>
      </c>
      <c r="F109">
        <v>77</v>
      </c>
      <c r="G109" t="s">
        <v>24</v>
      </c>
      <c r="H109" t="str">
        <f>VLOOKUP(EmployeeData[[#This Row],[Dept Code]],Lookup_Departments!$A$1:$B$7,2,FALSE)</f>
        <v>Human Resources</v>
      </c>
      <c r="I109" s="7">
        <f ca="1">YEARFRAC(EmployeeData[[#This Row],[Hire Date]],TODAY())</f>
        <v>12.644444444444444</v>
      </c>
      <c r="J109" t="str">
        <f>VLOOKUP(EmployeeData[[#This Row],[Perf_Score]],Lookup_Performance!$A$2:$C$6,3,TRUE)</f>
        <v>Achieving</v>
      </c>
      <c r="K109" s="22">
        <f>VLOOKUP(EmployeeData[[#This Row],[Performance Band]],Lookup_Performance!$C$1:$D$6,2,FALSE)</f>
        <v>0.05</v>
      </c>
      <c r="L109" s="13">
        <f>EmployeeData[[#This Row],[Salary]]*EmployeeData[[#This Row],[Bonus Percent]]</f>
        <v>3886.8500000000004</v>
      </c>
    </row>
    <row r="110" spans="1:12" x14ac:dyDescent="0.3">
      <c r="A110" t="s">
        <v>127</v>
      </c>
      <c r="B110" s="2" t="s">
        <v>219</v>
      </c>
      <c r="C110" t="s">
        <v>23</v>
      </c>
      <c r="D110" s="10">
        <v>43513</v>
      </c>
      <c r="E110" s="12">
        <v>95686</v>
      </c>
      <c r="F110">
        <v>91</v>
      </c>
      <c r="G110" t="s">
        <v>24</v>
      </c>
      <c r="H110" t="str">
        <f>VLOOKUP(EmployeeData[[#This Row],[Dept Code]],Lookup_Departments!$A$1:$B$7,2,FALSE)</f>
        <v>Sales</v>
      </c>
      <c r="I110" s="7">
        <f ca="1">YEARFRAC(EmployeeData[[#This Row],[Hire Date]],TODAY())</f>
        <v>7.3916666666666666</v>
      </c>
      <c r="J110" t="str">
        <f>VLOOKUP(EmployeeData[[#This Row],[Perf_Score]],Lookup_Performance!$A$2:$C$6,3,TRUE)</f>
        <v>Exceeding</v>
      </c>
      <c r="K110" s="22">
        <f>VLOOKUP(EmployeeData[[#This Row],[Performance Band]],Lookup_Performance!$C$1:$D$6,2,FALSE)</f>
        <v>0.08</v>
      </c>
      <c r="L110" s="13">
        <f>EmployeeData[[#This Row],[Salary]]*EmployeeData[[#This Row],[Bonus Percent]]</f>
        <v>7654.88</v>
      </c>
    </row>
    <row r="111" spans="1:12" x14ac:dyDescent="0.3">
      <c r="A111" t="s">
        <v>128</v>
      </c>
      <c r="B111" s="3" t="s">
        <v>194</v>
      </c>
      <c r="C111" t="s">
        <v>23</v>
      </c>
      <c r="D111" s="10">
        <v>42713</v>
      </c>
      <c r="E111" s="12">
        <v>114681</v>
      </c>
      <c r="F111">
        <v>36</v>
      </c>
      <c r="G111" t="s">
        <v>24</v>
      </c>
      <c r="H111" t="str">
        <f>VLOOKUP(EmployeeData[[#This Row],[Dept Code]],Lookup_Departments!$A$1:$B$7,2,FALSE)</f>
        <v>Sales</v>
      </c>
      <c r="I111" s="7">
        <f ca="1">YEARFRAC(EmployeeData[[#This Row],[Hire Date]],TODAY())</f>
        <v>9.5805555555555557</v>
      </c>
      <c r="J111" t="str">
        <f>VLOOKUP(EmployeeData[[#This Row],[Perf_Score]],Lookup_Performance!$A$2:$C$6,3,TRUE)</f>
        <v>Needs Improvement</v>
      </c>
      <c r="K111" s="22">
        <f>VLOOKUP(EmployeeData[[#This Row],[Performance Band]],Lookup_Performance!$C$1:$D$6,2,FALSE)</f>
        <v>0</v>
      </c>
      <c r="L111" s="13">
        <f>EmployeeData[[#This Row],[Salary]]*EmployeeData[[#This Row],[Bonus Percent]]</f>
        <v>0</v>
      </c>
    </row>
    <row r="112" spans="1:12" x14ac:dyDescent="0.3">
      <c r="A112" t="s">
        <v>129</v>
      </c>
      <c r="B112" s="2" t="s">
        <v>240</v>
      </c>
      <c r="C112" t="s">
        <v>17</v>
      </c>
      <c r="D112" s="10">
        <v>41507</v>
      </c>
      <c r="E112" s="12">
        <v>109121</v>
      </c>
      <c r="F112">
        <v>72</v>
      </c>
      <c r="G112" t="s">
        <v>24</v>
      </c>
      <c r="H112" t="str">
        <f>VLOOKUP(EmployeeData[[#This Row],[Dept Code]],Lookup_Departments!$A$1:$B$7,2,FALSE)</f>
        <v>Operations</v>
      </c>
      <c r="I112" s="7">
        <f ca="1">YEARFRAC(EmployeeData[[#This Row],[Hire Date]],TODAY())</f>
        <v>12.880555555555556</v>
      </c>
      <c r="J112" t="str">
        <f>VLOOKUP(EmployeeData[[#This Row],[Perf_Score]],Lookup_Performance!$A$2:$C$6,3,TRUE)</f>
        <v>Achieving</v>
      </c>
      <c r="K112" s="22">
        <f>VLOOKUP(EmployeeData[[#This Row],[Performance Band]],Lookup_Performance!$C$1:$D$6,2,FALSE)</f>
        <v>0.05</v>
      </c>
      <c r="L112" s="13">
        <f>EmployeeData[[#This Row],[Salary]]*EmployeeData[[#This Row],[Bonus Percent]]</f>
        <v>5456.05</v>
      </c>
    </row>
    <row r="113" spans="1:12" x14ac:dyDescent="0.3">
      <c r="A113" t="s">
        <v>130</v>
      </c>
      <c r="B113" s="3" t="s">
        <v>269</v>
      </c>
      <c r="C113" t="s">
        <v>9</v>
      </c>
      <c r="D113" s="10">
        <v>43996</v>
      </c>
      <c r="E113" s="12">
        <v>112791</v>
      </c>
      <c r="F113">
        <v>87</v>
      </c>
      <c r="G113" t="s">
        <v>24</v>
      </c>
      <c r="H113" t="str">
        <f>VLOOKUP(EmployeeData[[#This Row],[Dept Code]],Lookup_Departments!$A$1:$B$7,2,FALSE)</f>
        <v>Marketing</v>
      </c>
      <c r="I113" s="7">
        <f ca="1">YEARFRAC(EmployeeData[[#This Row],[Hire Date]],TODAY())</f>
        <v>6.0666666666666664</v>
      </c>
      <c r="J113" t="str">
        <f>VLOOKUP(EmployeeData[[#This Row],[Perf_Score]],Lookup_Performance!$A$2:$C$6,3,TRUE)</f>
        <v>Exceeding</v>
      </c>
      <c r="K113" s="22">
        <f>VLOOKUP(EmployeeData[[#This Row],[Performance Band]],Lookup_Performance!$C$1:$D$6,2,FALSE)</f>
        <v>0.08</v>
      </c>
      <c r="L113" s="13">
        <f>EmployeeData[[#This Row],[Salary]]*EmployeeData[[#This Row],[Bonus Percent]]</f>
        <v>9023.2800000000007</v>
      </c>
    </row>
    <row r="114" spans="1:12" x14ac:dyDescent="0.3">
      <c r="A114" t="s">
        <v>131</v>
      </c>
      <c r="B114" s="2" t="s">
        <v>270</v>
      </c>
      <c r="C114" t="s">
        <v>7</v>
      </c>
      <c r="D114" s="10">
        <v>38555</v>
      </c>
      <c r="E114" s="12">
        <v>118008</v>
      </c>
      <c r="F114">
        <v>71</v>
      </c>
      <c r="G114" t="s">
        <v>24</v>
      </c>
      <c r="H114" t="str">
        <f>VLOOKUP(EmployeeData[[#This Row],[Dept Code]],Lookup_Departments!$A$1:$B$7,2,FALSE)</f>
        <v>Information Technology</v>
      </c>
      <c r="I114" s="7">
        <f ca="1">YEARFRAC(EmployeeData[[#This Row],[Hire Date]],TODAY())</f>
        <v>20.961111111111112</v>
      </c>
      <c r="J114" t="str">
        <f>VLOOKUP(EmployeeData[[#This Row],[Perf_Score]],Lookup_Performance!$A$2:$C$6,3,TRUE)</f>
        <v>Achieving</v>
      </c>
      <c r="K114" s="22">
        <f>VLOOKUP(EmployeeData[[#This Row],[Performance Band]],Lookup_Performance!$C$1:$D$6,2,FALSE)</f>
        <v>0.05</v>
      </c>
      <c r="L114" s="13">
        <f>EmployeeData[[#This Row],[Salary]]*EmployeeData[[#This Row],[Bonus Percent]]</f>
        <v>5900.4000000000005</v>
      </c>
    </row>
    <row r="115" spans="1:12" x14ac:dyDescent="0.3">
      <c r="A115" t="s">
        <v>132</v>
      </c>
      <c r="B115" s="3" t="s">
        <v>259</v>
      </c>
      <c r="C115" t="s">
        <v>7</v>
      </c>
      <c r="D115" s="10">
        <v>42561</v>
      </c>
      <c r="E115" s="12">
        <v>74370</v>
      </c>
      <c r="F115">
        <v>82</v>
      </c>
      <c r="G115" t="s">
        <v>24</v>
      </c>
      <c r="H115" t="str">
        <f>VLOOKUP(EmployeeData[[#This Row],[Dept Code]],Lookup_Departments!$A$1:$B$7,2,FALSE)</f>
        <v>Information Technology</v>
      </c>
      <c r="I115" s="7">
        <f ca="1">YEARFRAC(EmployeeData[[#This Row],[Hire Date]],TODAY())</f>
        <v>9.9944444444444436</v>
      </c>
      <c r="J115" t="str">
        <f>VLOOKUP(EmployeeData[[#This Row],[Perf_Score]],Lookup_Performance!$A$2:$C$6,3,TRUE)</f>
        <v>Achieving</v>
      </c>
      <c r="K115" s="22">
        <f>VLOOKUP(EmployeeData[[#This Row],[Performance Band]],Lookup_Performance!$C$1:$D$6,2,FALSE)</f>
        <v>0.05</v>
      </c>
      <c r="L115" s="13">
        <f>EmployeeData[[#This Row],[Salary]]*EmployeeData[[#This Row],[Bonus Percent]]</f>
        <v>3718.5</v>
      </c>
    </row>
    <row r="116" spans="1:12" x14ac:dyDescent="0.3">
      <c r="A116" t="s">
        <v>133</v>
      </c>
      <c r="B116" s="2" t="s">
        <v>271</v>
      </c>
      <c r="C116" t="s">
        <v>7</v>
      </c>
      <c r="D116" s="10">
        <v>44674</v>
      </c>
      <c r="E116" s="12">
        <v>77819</v>
      </c>
      <c r="F116">
        <v>79</v>
      </c>
      <c r="G116" t="s">
        <v>24</v>
      </c>
      <c r="H116" t="str">
        <f>VLOOKUP(EmployeeData[[#This Row],[Dept Code]],Lookup_Departments!$A$1:$B$7,2,FALSE)</f>
        <v>Information Technology</v>
      </c>
      <c r="I116" s="7">
        <f ca="1">YEARFRAC(EmployeeData[[#This Row],[Hire Date]],TODAY())</f>
        <v>4.208333333333333</v>
      </c>
      <c r="J116" t="str">
        <f>VLOOKUP(EmployeeData[[#This Row],[Perf_Score]],Lookup_Performance!$A$2:$C$6,3,TRUE)</f>
        <v>Achieving</v>
      </c>
      <c r="K116" s="22">
        <f>VLOOKUP(EmployeeData[[#This Row],[Performance Band]],Lookup_Performance!$C$1:$D$6,2,FALSE)</f>
        <v>0.05</v>
      </c>
      <c r="L116" s="13">
        <f>EmployeeData[[#This Row],[Salary]]*EmployeeData[[#This Row],[Bonus Percent]]</f>
        <v>3890.9500000000003</v>
      </c>
    </row>
    <row r="117" spans="1:12" x14ac:dyDescent="0.3">
      <c r="A117" t="s">
        <v>134</v>
      </c>
      <c r="B117" s="3" t="s">
        <v>199</v>
      </c>
      <c r="C117" t="s">
        <v>9</v>
      </c>
      <c r="D117" s="10">
        <v>42865</v>
      </c>
      <c r="E117" s="12">
        <v>48748</v>
      </c>
      <c r="F117">
        <v>83</v>
      </c>
      <c r="G117" t="s">
        <v>24</v>
      </c>
      <c r="H117" t="str">
        <f>VLOOKUP(EmployeeData[[#This Row],[Dept Code]],Lookup_Departments!$A$1:$B$7,2,FALSE)</f>
        <v>Marketing</v>
      </c>
      <c r="I117" s="7">
        <f ca="1">YEARFRAC(EmployeeData[[#This Row],[Hire Date]],TODAY())</f>
        <v>9.1611111111111114</v>
      </c>
      <c r="J117" t="str">
        <f>VLOOKUP(EmployeeData[[#This Row],[Perf_Score]],Lookup_Performance!$A$2:$C$6,3,TRUE)</f>
        <v>Achieving</v>
      </c>
      <c r="K117" s="22">
        <f>VLOOKUP(EmployeeData[[#This Row],[Performance Band]],Lookup_Performance!$C$1:$D$6,2,FALSE)</f>
        <v>0.05</v>
      </c>
      <c r="L117" s="13">
        <f>EmployeeData[[#This Row],[Salary]]*EmployeeData[[#This Row],[Bonus Percent]]</f>
        <v>2437.4</v>
      </c>
    </row>
    <row r="118" spans="1:12" x14ac:dyDescent="0.3">
      <c r="A118" t="s">
        <v>135</v>
      </c>
      <c r="B118" s="2" t="s">
        <v>272</v>
      </c>
      <c r="C118" t="s">
        <v>17</v>
      </c>
      <c r="D118" s="10">
        <v>43971</v>
      </c>
      <c r="E118" s="12">
        <v>101997</v>
      </c>
      <c r="F118">
        <v>38</v>
      </c>
      <c r="G118" t="s">
        <v>61</v>
      </c>
      <c r="H118" t="str">
        <f>VLOOKUP(EmployeeData[[#This Row],[Dept Code]],Lookup_Departments!$A$1:$B$7,2,FALSE)</f>
        <v>Operations</v>
      </c>
      <c r="I118" s="7">
        <f ca="1">YEARFRAC(EmployeeData[[#This Row],[Hire Date]],TODAY())</f>
        <v>6.1333333333333337</v>
      </c>
      <c r="J118" t="str">
        <f>VLOOKUP(EmployeeData[[#This Row],[Perf_Score]],Lookup_Performance!$A$2:$C$6,3,TRUE)</f>
        <v>Needs Improvement</v>
      </c>
      <c r="K118" s="22">
        <f>VLOOKUP(EmployeeData[[#This Row],[Performance Band]],Lookup_Performance!$C$1:$D$6,2,FALSE)</f>
        <v>0</v>
      </c>
      <c r="L118" s="13">
        <f>EmployeeData[[#This Row],[Salary]]*EmployeeData[[#This Row],[Bonus Percent]]</f>
        <v>0</v>
      </c>
    </row>
    <row r="119" spans="1:12" x14ac:dyDescent="0.3">
      <c r="A119" t="s">
        <v>136</v>
      </c>
      <c r="B119" s="3" t="s">
        <v>273</v>
      </c>
      <c r="C119" t="s">
        <v>51</v>
      </c>
      <c r="D119" s="10">
        <v>45036</v>
      </c>
      <c r="E119" s="12">
        <v>115260</v>
      </c>
      <c r="F119">
        <v>77</v>
      </c>
      <c r="G119" t="s">
        <v>24</v>
      </c>
      <c r="H119" t="str">
        <f>VLOOKUP(EmployeeData[[#This Row],[Dept Code]],Lookup_Departments!$A$1:$B$7,2,FALSE)</f>
        <v>Human Resources</v>
      </c>
      <c r="I119" s="7">
        <f ca="1">YEARFRAC(EmployeeData[[#This Row],[Hire Date]],TODAY())</f>
        <v>3.2166666666666668</v>
      </c>
      <c r="J119" t="str">
        <f>VLOOKUP(EmployeeData[[#This Row],[Perf_Score]],Lookup_Performance!$A$2:$C$6,3,TRUE)</f>
        <v>Achieving</v>
      </c>
      <c r="K119" s="22">
        <f>VLOOKUP(EmployeeData[[#This Row],[Performance Band]],Lookup_Performance!$C$1:$D$6,2,FALSE)</f>
        <v>0.05</v>
      </c>
      <c r="L119" s="13">
        <f>EmployeeData[[#This Row],[Salary]]*EmployeeData[[#This Row],[Bonus Percent]]</f>
        <v>5763</v>
      </c>
    </row>
    <row r="120" spans="1:12" x14ac:dyDescent="0.3">
      <c r="A120" t="s">
        <v>137</v>
      </c>
      <c r="B120" s="2" t="s">
        <v>274</v>
      </c>
      <c r="C120" t="s">
        <v>23</v>
      </c>
      <c r="D120" s="10">
        <v>44500</v>
      </c>
      <c r="E120" s="12">
        <v>82713.428571428594</v>
      </c>
      <c r="F120">
        <v>49</v>
      </c>
      <c r="G120" t="s">
        <v>24</v>
      </c>
      <c r="H120" t="str">
        <f>VLOOKUP(EmployeeData[[#This Row],[Dept Code]],Lookup_Departments!$A$1:$B$7,2,FALSE)</f>
        <v>Sales</v>
      </c>
      <c r="I120" s="7">
        <f ca="1">YEARFRAC(EmployeeData[[#This Row],[Hire Date]],TODAY())</f>
        <v>4.6888888888888891</v>
      </c>
      <c r="J120" t="str">
        <f>VLOOKUP(EmployeeData[[#This Row],[Perf_Score]],Lookup_Performance!$A$2:$C$6,3,TRUE)</f>
        <v>Needs Improvement</v>
      </c>
      <c r="K120" s="22">
        <f>VLOOKUP(EmployeeData[[#This Row],[Performance Band]],Lookup_Performance!$C$1:$D$6,2,FALSE)</f>
        <v>0</v>
      </c>
      <c r="L120" s="13">
        <f>EmployeeData[[#This Row],[Salary]]*EmployeeData[[#This Row],[Bonus Percent]]</f>
        <v>0</v>
      </c>
    </row>
    <row r="121" spans="1:12" x14ac:dyDescent="0.3">
      <c r="A121" t="s">
        <v>138</v>
      </c>
      <c r="B121" s="3" t="s">
        <v>217</v>
      </c>
      <c r="C121" t="s">
        <v>7</v>
      </c>
      <c r="D121" s="10">
        <v>45586</v>
      </c>
      <c r="E121" s="12">
        <v>82713.428571428594</v>
      </c>
      <c r="F121">
        <v>69</v>
      </c>
      <c r="G121" t="s">
        <v>15</v>
      </c>
      <c r="H121" t="str">
        <f>VLOOKUP(EmployeeData[[#This Row],[Dept Code]],Lookup_Departments!$A$1:$B$7,2,FALSE)</f>
        <v>Information Technology</v>
      </c>
      <c r="I121" s="7">
        <f ca="1">YEARFRAC(EmployeeData[[#This Row],[Hire Date]],TODAY())</f>
        <v>1.7138888888888888</v>
      </c>
      <c r="J121" t="str">
        <f>VLOOKUP(EmployeeData[[#This Row],[Perf_Score]],Lookup_Performance!$A$2:$C$6,3,TRUE)</f>
        <v>Developing</v>
      </c>
      <c r="K121" s="22">
        <f>VLOOKUP(EmployeeData[[#This Row],[Performance Band]],Lookup_Performance!$C$1:$D$6,2,FALSE)</f>
        <v>0.02</v>
      </c>
      <c r="L121" s="13">
        <f>EmployeeData[[#This Row],[Salary]]*EmployeeData[[#This Row],[Bonus Percent]]</f>
        <v>1654.2685714285719</v>
      </c>
    </row>
    <row r="122" spans="1:12" x14ac:dyDescent="0.3">
      <c r="A122" t="s">
        <v>139</v>
      </c>
      <c r="B122" s="2" t="s">
        <v>275</v>
      </c>
      <c r="C122" t="s">
        <v>23</v>
      </c>
      <c r="D122" s="10">
        <v>42986</v>
      </c>
      <c r="E122" s="12">
        <v>82713.428571428594</v>
      </c>
      <c r="F122">
        <v>76</v>
      </c>
      <c r="G122" t="s">
        <v>24</v>
      </c>
      <c r="H122" t="str">
        <f>VLOOKUP(EmployeeData[[#This Row],[Dept Code]],Lookup_Departments!$A$1:$B$7,2,FALSE)</f>
        <v>Sales</v>
      </c>
      <c r="I122" s="7">
        <f ca="1">YEARFRAC(EmployeeData[[#This Row],[Hire Date]],TODAY())</f>
        <v>8.8333333333333339</v>
      </c>
      <c r="J122" t="str">
        <f>VLOOKUP(EmployeeData[[#This Row],[Perf_Score]],Lookup_Performance!$A$2:$C$6,3,TRUE)</f>
        <v>Achieving</v>
      </c>
      <c r="K122" s="22">
        <f>VLOOKUP(EmployeeData[[#This Row],[Performance Band]],Lookup_Performance!$C$1:$D$6,2,FALSE)</f>
        <v>0.05</v>
      </c>
      <c r="L122" s="13">
        <f>EmployeeData[[#This Row],[Salary]]*EmployeeData[[#This Row],[Bonus Percent]]</f>
        <v>4135.6714285714297</v>
      </c>
    </row>
    <row r="123" spans="1:12" x14ac:dyDescent="0.3">
      <c r="A123" t="s">
        <v>140</v>
      </c>
      <c r="B123" s="3" t="s">
        <v>276</v>
      </c>
      <c r="C123" t="s">
        <v>17</v>
      </c>
      <c r="D123" s="10">
        <v>45017</v>
      </c>
      <c r="E123" s="12">
        <v>60623</v>
      </c>
      <c r="F123">
        <v>78</v>
      </c>
      <c r="G123" t="s">
        <v>24</v>
      </c>
      <c r="H123" t="str">
        <f>VLOOKUP(EmployeeData[[#This Row],[Dept Code]],Lookup_Departments!$A$1:$B$7,2,FALSE)</f>
        <v>Operations</v>
      </c>
      <c r="I123" s="7">
        <f ca="1">YEARFRAC(EmployeeData[[#This Row],[Hire Date]],TODAY())</f>
        <v>3.2694444444444444</v>
      </c>
      <c r="J123" t="str">
        <f>VLOOKUP(EmployeeData[[#This Row],[Perf_Score]],Lookup_Performance!$A$2:$C$6,3,TRUE)</f>
        <v>Achieving</v>
      </c>
      <c r="K123" s="22">
        <f>VLOOKUP(EmployeeData[[#This Row],[Performance Band]],Lookup_Performance!$C$1:$D$6,2,FALSE)</f>
        <v>0.05</v>
      </c>
      <c r="L123" s="13">
        <f>EmployeeData[[#This Row],[Salary]]*EmployeeData[[#This Row],[Bonus Percent]]</f>
        <v>3031.15</v>
      </c>
    </row>
    <row r="124" spans="1:12" x14ac:dyDescent="0.3">
      <c r="A124" t="s">
        <v>141</v>
      </c>
      <c r="B124" s="2" t="s">
        <v>229</v>
      </c>
      <c r="C124" t="s">
        <v>51</v>
      </c>
      <c r="D124" s="10">
        <v>40410</v>
      </c>
      <c r="E124" s="12">
        <v>68092</v>
      </c>
      <c r="F124">
        <v>93</v>
      </c>
      <c r="G124" t="s">
        <v>24</v>
      </c>
      <c r="H124" t="str">
        <f>VLOOKUP(EmployeeData[[#This Row],[Dept Code]],Lookup_Departments!$A$1:$B$7,2,FALSE)</f>
        <v>Human Resources</v>
      </c>
      <c r="I124" s="7">
        <f ca="1">YEARFRAC(EmployeeData[[#This Row],[Hire Date]],TODAY())</f>
        <v>15.883333333333333</v>
      </c>
      <c r="J124" t="str">
        <f>VLOOKUP(EmployeeData[[#This Row],[Perf_Score]],Lookup_Performance!$A$2:$C$6,3,TRUE)</f>
        <v>Exceeding</v>
      </c>
      <c r="K124" s="22">
        <f>VLOOKUP(EmployeeData[[#This Row],[Performance Band]],Lookup_Performance!$C$1:$D$6,2,FALSE)</f>
        <v>0.08</v>
      </c>
      <c r="L124" s="13">
        <f>EmployeeData[[#This Row],[Salary]]*EmployeeData[[#This Row],[Bonus Percent]]</f>
        <v>5447.36</v>
      </c>
    </row>
    <row r="125" spans="1:12" x14ac:dyDescent="0.3">
      <c r="A125" t="s">
        <v>142</v>
      </c>
      <c r="B125" s="3" t="s">
        <v>210</v>
      </c>
      <c r="C125" t="s">
        <v>9</v>
      </c>
      <c r="D125" s="10">
        <v>44596</v>
      </c>
      <c r="E125" s="12">
        <v>88155</v>
      </c>
      <c r="F125">
        <v>68</v>
      </c>
      <c r="G125" t="s">
        <v>24</v>
      </c>
      <c r="H125" t="str">
        <f>VLOOKUP(EmployeeData[[#This Row],[Dept Code]],Lookup_Departments!$A$1:$B$7,2,FALSE)</f>
        <v>Marketing</v>
      </c>
      <c r="I125" s="7">
        <f ca="1">YEARFRAC(EmployeeData[[#This Row],[Hire Date]],TODAY())</f>
        <v>4.427777777777778</v>
      </c>
      <c r="J125" t="str">
        <f>VLOOKUP(EmployeeData[[#This Row],[Perf_Score]],Lookup_Performance!$A$2:$C$6,3,TRUE)</f>
        <v>Developing</v>
      </c>
      <c r="K125" s="22">
        <f>VLOOKUP(EmployeeData[[#This Row],[Performance Band]],Lookup_Performance!$C$1:$D$6,2,FALSE)</f>
        <v>0.02</v>
      </c>
      <c r="L125" s="13">
        <f>EmployeeData[[#This Row],[Salary]]*EmployeeData[[#This Row],[Bonus Percent]]</f>
        <v>1763.1000000000001</v>
      </c>
    </row>
    <row r="126" spans="1:12" x14ac:dyDescent="0.3">
      <c r="A126" t="s">
        <v>143</v>
      </c>
      <c r="B126" s="2" t="s">
        <v>277</v>
      </c>
      <c r="C126" t="s">
        <v>9</v>
      </c>
      <c r="D126" s="10">
        <v>45369</v>
      </c>
      <c r="E126" s="12">
        <v>107903</v>
      </c>
      <c r="F126">
        <v>42</v>
      </c>
      <c r="G126" t="s">
        <v>24</v>
      </c>
      <c r="H126" t="str">
        <f>VLOOKUP(EmployeeData[[#This Row],[Dept Code]],Lookup_Departments!$A$1:$B$7,2,FALSE)</f>
        <v>Marketing</v>
      </c>
      <c r="I126" s="7">
        <f ca="1">YEARFRAC(EmployeeData[[#This Row],[Hire Date]],TODAY())</f>
        <v>2.3055555555555554</v>
      </c>
      <c r="J126" t="str">
        <f>VLOOKUP(EmployeeData[[#This Row],[Perf_Score]],Lookup_Performance!$A$2:$C$6,3,TRUE)</f>
        <v>Needs Improvement</v>
      </c>
      <c r="K126" s="22">
        <f>VLOOKUP(EmployeeData[[#This Row],[Performance Band]],Lookup_Performance!$C$1:$D$6,2,FALSE)</f>
        <v>0</v>
      </c>
      <c r="L126" s="13">
        <f>EmployeeData[[#This Row],[Salary]]*EmployeeData[[#This Row],[Bonus Percent]]</f>
        <v>0</v>
      </c>
    </row>
    <row r="127" spans="1:12" x14ac:dyDescent="0.3">
      <c r="A127" t="s">
        <v>144</v>
      </c>
      <c r="B127" s="3" t="s">
        <v>266</v>
      </c>
      <c r="C127" t="s">
        <v>7</v>
      </c>
      <c r="D127" s="10">
        <v>43305</v>
      </c>
      <c r="E127" s="12">
        <v>62818</v>
      </c>
      <c r="F127">
        <v>34</v>
      </c>
      <c r="G127" t="s">
        <v>24</v>
      </c>
      <c r="H127" t="str">
        <f>VLOOKUP(EmployeeData[[#This Row],[Dept Code]],Lookup_Departments!$A$1:$B$7,2,FALSE)</f>
        <v>Information Technology</v>
      </c>
      <c r="I127" s="7">
        <f ca="1">YEARFRAC(EmployeeData[[#This Row],[Hire Date]],TODAY())</f>
        <v>7.9555555555555557</v>
      </c>
      <c r="J127" t="str">
        <f>VLOOKUP(EmployeeData[[#This Row],[Perf_Score]],Lookup_Performance!$A$2:$C$6,3,TRUE)</f>
        <v>Needs Improvement</v>
      </c>
      <c r="K127" s="22">
        <f>VLOOKUP(EmployeeData[[#This Row],[Performance Band]],Lookup_Performance!$C$1:$D$6,2,FALSE)</f>
        <v>0</v>
      </c>
      <c r="L127" s="13">
        <f>EmployeeData[[#This Row],[Salary]]*EmployeeData[[#This Row],[Bonus Percent]]</f>
        <v>0</v>
      </c>
    </row>
    <row r="128" spans="1:12" x14ac:dyDescent="0.3">
      <c r="A128" t="s">
        <v>145</v>
      </c>
      <c r="B128" s="2" t="s">
        <v>254</v>
      </c>
      <c r="C128" t="s">
        <v>51</v>
      </c>
      <c r="D128" s="10">
        <v>43301</v>
      </c>
      <c r="E128" s="12">
        <v>85151</v>
      </c>
      <c r="F128">
        <v>35</v>
      </c>
      <c r="G128" t="s">
        <v>24</v>
      </c>
      <c r="H128" t="str">
        <f>VLOOKUP(EmployeeData[[#This Row],[Dept Code]],Lookup_Departments!$A$1:$B$7,2,FALSE)</f>
        <v>Human Resources</v>
      </c>
      <c r="I128" s="7">
        <f ca="1">YEARFRAC(EmployeeData[[#This Row],[Hire Date]],TODAY())</f>
        <v>7.9666666666666668</v>
      </c>
      <c r="J128" t="str">
        <f>VLOOKUP(EmployeeData[[#This Row],[Perf_Score]],Lookup_Performance!$A$2:$C$6,3,TRUE)</f>
        <v>Needs Improvement</v>
      </c>
      <c r="K128" s="22">
        <f>VLOOKUP(EmployeeData[[#This Row],[Performance Band]],Lookup_Performance!$C$1:$D$6,2,FALSE)</f>
        <v>0</v>
      </c>
      <c r="L128" s="13">
        <f>EmployeeData[[#This Row],[Salary]]*EmployeeData[[#This Row],[Bonus Percent]]</f>
        <v>0</v>
      </c>
    </row>
    <row r="129" spans="1:12" x14ac:dyDescent="0.3">
      <c r="A129" t="s">
        <v>146</v>
      </c>
      <c r="B129" s="3" t="s">
        <v>230</v>
      </c>
      <c r="C129" t="s">
        <v>12</v>
      </c>
      <c r="D129" s="10">
        <v>38062</v>
      </c>
      <c r="E129" s="12">
        <v>46390</v>
      </c>
      <c r="F129">
        <v>95</v>
      </c>
      <c r="G129" t="s">
        <v>24</v>
      </c>
      <c r="H129" t="str">
        <f>VLOOKUP(EmployeeData[[#This Row],[Dept Code]],Lookup_Departments!$A$1:$B$7,2,FALSE)</f>
        <v>Finance</v>
      </c>
      <c r="I129" s="7">
        <f ca="1">YEARFRAC(EmployeeData[[#This Row],[Hire Date]],TODAY())</f>
        <v>22.31111111111111</v>
      </c>
      <c r="J129" t="str">
        <f>VLOOKUP(EmployeeData[[#This Row],[Perf_Score]],Lookup_Performance!$A$2:$C$6,3,TRUE)</f>
        <v>Outstanding</v>
      </c>
      <c r="K129" s="22">
        <f>VLOOKUP(EmployeeData[[#This Row],[Performance Band]],Lookup_Performance!$C$1:$D$6,2,FALSE)</f>
        <v>0.12</v>
      </c>
      <c r="L129" s="13">
        <f>EmployeeData[[#This Row],[Salary]]*EmployeeData[[#This Row],[Bonus Percent]]</f>
        <v>5566.8</v>
      </c>
    </row>
    <row r="130" spans="1:12" x14ac:dyDescent="0.3">
      <c r="A130" t="s">
        <v>147</v>
      </c>
      <c r="B130" s="2" t="s">
        <v>190</v>
      </c>
      <c r="C130" t="s">
        <v>51</v>
      </c>
      <c r="D130" s="10">
        <v>44643</v>
      </c>
      <c r="E130" s="12">
        <v>111920</v>
      </c>
      <c r="F130">
        <v>90</v>
      </c>
      <c r="G130" t="s">
        <v>15</v>
      </c>
      <c r="H130" t="str">
        <f>VLOOKUP(EmployeeData[[#This Row],[Dept Code]],Lookup_Departments!$A$1:$B$7,2,FALSE)</f>
        <v>Human Resources</v>
      </c>
      <c r="I130" s="7">
        <f ca="1">YEARFRAC(EmployeeData[[#This Row],[Hire Date]],TODAY())</f>
        <v>4.291666666666667</v>
      </c>
      <c r="J130" t="str">
        <f>VLOOKUP(EmployeeData[[#This Row],[Perf_Score]],Lookup_Performance!$A$2:$C$6,3,TRUE)</f>
        <v>Exceeding</v>
      </c>
      <c r="K130" s="22">
        <f>VLOOKUP(EmployeeData[[#This Row],[Performance Band]],Lookup_Performance!$C$1:$D$6,2,FALSE)</f>
        <v>0.08</v>
      </c>
      <c r="L130" s="13">
        <f>EmployeeData[[#This Row],[Salary]]*EmployeeData[[#This Row],[Bonus Percent]]</f>
        <v>8953.6</v>
      </c>
    </row>
    <row r="131" spans="1:12" x14ac:dyDescent="0.3">
      <c r="A131" t="s">
        <v>148</v>
      </c>
      <c r="B131" s="3" t="s">
        <v>278</v>
      </c>
      <c r="C131" t="s">
        <v>51</v>
      </c>
      <c r="D131" s="10">
        <v>46951</v>
      </c>
      <c r="E131" s="12">
        <v>115618</v>
      </c>
      <c r="F131">
        <v>42</v>
      </c>
      <c r="G131" t="s">
        <v>24</v>
      </c>
      <c r="H131" t="str">
        <f>VLOOKUP(EmployeeData[[#This Row],[Dept Code]],Lookup_Departments!$A$1:$B$7,2,FALSE)</f>
        <v>Human Resources</v>
      </c>
      <c r="I131" s="7">
        <f ca="1">YEARFRAC(EmployeeData[[#This Row],[Hire Date]],TODAY())</f>
        <v>2.0249999999999999</v>
      </c>
      <c r="J131" t="str">
        <f>VLOOKUP(EmployeeData[[#This Row],[Perf_Score]],Lookup_Performance!$A$2:$C$6,3,TRUE)</f>
        <v>Needs Improvement</v>
      </c>
      <c r="K131" s="22">
        <f>VLOOKUP(EmployeeData[[#This Row],[Performance Band]],Lookup_Performance!$C$1:$D$6,2,FALSE)</f>
        <v>0</v>
      </c>
      <c r="L131" s="13">
        <f>EmployeeData[[#This Row],[Salary]]*EmployeeData[[#This Row],[Bonus Percent]]</f>
        <v>0</v>
      </c>
    </row>
    <row r="132" spans="1:12" x14ac:dyDescent="0.3">
      <c r="A132" t="s">
        <v>149</v>
      </c>
      <c r="B132" s="2" t="s">
        <v>279</v>
      </c>
      <c r="C132" t="s">
        <v>23</v>
      </c>
      <c r="D132" s="10">
        <v>45057</v>
      </c>
      <c r="E132" s="12">
        <v>110618</v>
      </c>
      <c r="F132">
        <v>88</v>
      </c>
      <c r="G132" t="s">
        <v>61</v>
      </c>
      <c r="H132" t="str">
        <f>VLOOKUP(EmployeeData[[#This Row],[Dept Code]],Lookup_Departments!$A$1:$B$7,2,FALSE)</f>
        <v>Sales</v>
      </c>
      <c r="I132" s="7">
        <f ca="1">YEARFRAC(EmployeeData[[#This Row],[Hire Date]],TODAY())</f>
        <v>3.1583333333333332</v>
      </c>
      <c r="J132" t="str">
        <f>VLOOKUP(EmployeeData[[#This Row],[Perf_Score]],Lookup_Performance!$A$2:$C$6,3,TRUE)</f>
        <v>Exceeding</v>
      </c>
      <c r="K132" s="22">
        <f>VLOOKUP(EmployeeData[[#This Row],[Performance Band]],Lookup_Performance!$C$1:$D$6,2,FALSE)</f>
        <v>0.08</v>
      </c>
      <c r="L132" s="13">
        <f>EmployeeData[[#This Row],[Salary]]*EmployeeData[[#This Row],[Bonus Percent]]</f>
        <v>8849.44</v>
      </c>
    </row>
    <row r="133" spans="1:12" x14ac:dyDescent="0.3">
      <c r="A133" t="s">
        <v>150</v>
      </c>
      <c r="B133" s="3" t="s">
        <v>280</v>
      </c>
      <c r="C133" t="s">
        <v>17</v>
      </c>
      <c r="D133" s="10">
        <v>43546</v>
      </c>
      <c r="E133" s="12">
        <v>108395</v>
      </c>
      <c r="F133">
        <v>78</v>
      </c>
      <c r="G133" t="s">
        <v>15</v>
      </c>
      <c r="H133" t="str">
        <f>VLOOKUP(EmployeeData[[#This Row],[Dept Code]],Lookup_Departments!$A$1:$B$7,2,FALSE)</f>
        <v>Operations</v>
      </c>
      <c r="I133" s="7">
        <f ca="1">YEARFRAC(EmployeeData[[#This Row],[Hire Date]],TODAY())</f>
        <v>7.2944444444444443</v>
      </c>
      <c r="J133" t="str">
        <f>VLOOKUP(EmployeeData[[#This Row],[Perf_Score]],Lookup_Performance!$A$2:$C$6,3,TRUE)</f>
        <v>Achieving</v>
      </c>
      <c r="K133" s="22">
        <f>VLOOKUP(EmployeeData[[#This Row],[Performance Band]],Lookup_Performance!$C$1:$D$6,2,FALSE)</f>
        <v>0.05</v>
      </c>
      <c r="L133" s="13">
        <f>EmployeeData[[#This Row],[Salary]]*EmployeeData[[#This Row],[Bonus Percent]]</f>
        <v>5419.75</v>
      </c>
    </row>
    <row r="134" spans="1:12" x14ac:dyDescent="0.3">
      <c r="A134" t="s">
        <v>151</v>
      </c>
      <c r="B134" s="2" t="s">
        <v>226</v>
      </c>
      <c r="C134" t="s">
        <v>12</v>
      </c>
      <c r="D134" s="10">
        <v>43091</v>
      </c>
      <c r="E134" s="12">
        <v>88005</v>
      </c>
      <c r="F134">
        <v>69</v>
      </c>
      <c r="G134" t="s">
        <v>24</v>
      </c>
      <c r="H134" t="str">
        <f>VLOOKUP(EmployeeData[[#This Row],[Dept Code]],Lookup_Departments!$A$1:$B$7,2,FALSE)</f>
        <v>Finance</v>
      </c>
      <c r="I134" s="7">
        <f ca="1">YEARFRAC(EmployeeData[[#This Row],[Hire Date]],TODAY())</f>
        <v>8.5444444444444443</v>
      </c>
      <c r="J134" t="str">
        <f>VLOOKUP(EmployeeData[[#This Row],[Perf_Score]],Lookup_Performance!$A$2:$C$6,3,TRUE)</f>
        <v>Developing</v>
      </c>
      <c r="K134" s="22">
        <f>VLOOKUP(EmployeeData[[#This Row],[Performance Band]],Lookup_Performance!$C$1:$D$6,2,FALSE)</f>
        <v>0.02</v>
      </c>
      <c r="L134" s="13">
        <f>EmployeeData[[#This Row],[Salary]]*EmployeeData[[#This Row],[Bonus Percent]]</f>
        <v>1760.1000000000001</v>
      </c>
    </row>
    <row r="135" spans="1:12" x14ac:dyDescent="0.3">
      <c r="A135" t="s">
        <v>152</v>
      </c>
      <c r="B135" s="3" t="s">
        <v>281</v>
      </c>
      <c r="C135" t="s">
        <v>9</v>
      </c>
      <c r="D135" s="10">
        <v>44437</v>
      </c>
      <c r="E135" s="12">
        <v>83007</v>
      </c>
      <c r="F135">
        <v>82</v>
      </c>
      <c r="G135" t="s">
        <v>24</v>
      </c>
      <c r="H135" t="str">
        <f>VLOOKUP(EmployeeData[[#This Row],[Dept Code]],Lookup_Departments!$A$1:$B$7,2,FALSE)</f>
        <v>Marketing</v>
      </c>
      <c r="I135" s="7">
        <f ca="1">YEARFRAC(EmployeeData[[#This Row],[Hire Date]],TODAY())</f>
        <v>4.8583333333333334</v>
      </c>
      <c r="J135" t="str">
        <f>VLOOKUP(EmployeeData[[#This Row],[Perf_Score]],Lookup_Performance!$A$2:$C$6,3,TRUE)</f>
        <v>Achieving</v>
      </c>
      <c r="K135" s="22">
        <f>VLOOKUP(EmployeeData[[#This Row],[Performance Band]],Lookup_Performance!$C$1:$D$6,2,FALSE)</f>
        <v>0.05</v>
      </c>
      <c r="L135" s="13">
        <f>EmployeeData[[#This Row],[Salary]]*EmployeeData[[#This Row],[Bonus Percent]]</f>
        <v>4150.3500000000004</v>
      </c>
    </row>
    <row r="136" spans="1:12" x14ac:dyDescent="0.3">
      <c r="A136" t="s">
        <v>153</v>
      </c>
      <c r="B136" s="2" t="s">
        <v>282</v>
      </c>
      <c r="C136" t="s">
        <v>7</v>
      </c>
      <c r="D136" s="10">
        <v>43360</v>
      </c>
      <c r="E136" s="12">
        <v>61547</v>
      </c>
      <c r="F136">
        <v>68</v>
      </c>
      <c r="G136" t="s">
        <v>24</v>
      </c>
      <c r="H136" t="str">
        <f>VLOOKUP(EmployeeData[[#This Row],[Dept Code]],Lookup_Departments!$A$1:$B$7,2,FALSE)</f>
        <v>Information Technology</v>
      </c>
      <c r="I136" s="7">
        <f ca="1">YEARFRAC(EmployeeData[[#This Row],[Hire Date]],TODAY())</f>
        <v>7.8083333333333336</v>
      </c>
      <c r="J136" t="str">
        <f>VLOOKUP(EmployeeData[[#This Row],[Perf_Score]],Lookup_Performance!$A$2:$C$6,3,TRUE)</f>
        <v>Developing</v>
      </c>
      <c r="K136" s="22">
        <f>VLOOKUP(EmployeeData[[#This Row],[Performance Band]],Lookup_Performance!$C$1:$D$6,2,FALSE)</f>
        <v>0.02</v>
      </c>
      <c r="L136" s="13">
        <f>EmployeeData[[#This Row],[Salary]]*EmployeeData[[#This Row],[Bonus Percent]]</f>
        <v>1230.94</v>
      </c>
    </row>
    <row r="137" spans="1:12" x14ac:dyDescent="0.3">
      <c r="A137" t="s">
        <v>154</v>
      </c>
      <c r="B137" s="3" t="s">
        <v>283</v>
      </c>
      <c r="C137" t="s">
        <v>23</v>
      </c>
      <c r="D137" s="10">
        <v>44375</v>
      </c>
      <c r="E137" s="12">
        <v>82713.428571428594</v>
      </c>
      <c r="F137">
        <v>52</v>
      </c>
      <c r="G137" t="s">
        <v>24</v>
      </c>
      <c r="H137" t="str">
        <f>VLOOKUP(EmployeeData[[#This Row],[Dept Code]],Lookup_Departments!$A$1:$B$7,2,FALSE)</f>
        <v>Sales</v>
      </c>
      <c r="I137" s="7">
        <f ca="1">YEARFRAC(EmployeeData[[#This Row],[Hire Date]],TODAY())</f>
        <v>5.0277777777777777</v>
      </c>
      <c r="J137" t="str">
        <f>VLOOKUP(EmployeeData[[#This Row],[Perf_Score]],Lookup_Performance!$A$2:$C$6,3,TRUE)</f>
        <v>Developing</v>
      </c>
      <c r="K137" s="22">
        <f>VLOOKUP(EmployeeData[[#This Row],[Performance Band]],Lookup_Performance!$C$1:$D$6,2,FALSE)</f>
        <v>0.02</v>
      </c>
      <c r="L137" s="13">
        <f>EmployeeData[[#This Row],[Salary]]*EmployeeData[[#This Row],[Bonus Percent]]</f>
        <v>1654.2685714285719</v>
      </c>
    </row>
    <row r="138" spans="1:12" x14ac:dyDescent="0.3">
      <c r="A138" t="s">
        <v>155</v>
      </c>
      <c r="B138" s="2" t="s">
        <v>284</v>
      </c>
      <c r="C138" t="s">
        <v>17</v>
      </c>
      <c r="D138" s="10">
        <v>37911</v>
      </c>
      <c r="E138" s="12">
        <v>50399</v>
      </c>
      <c r="F138">
        <v>92</v>
      </c>
      <c r="G138" t="s">
        <v>15</v>
      </c>
      <c r="H138" t="str">
        <f>VLOOKUP(EmployeeData[[#This Row],[Dept Code]],Lookup_Departments!$A$1:$B$7,2,FALSE)</f>
        <v>Operations</v>
      </c>
      <c r="I138" s="7">
        <f ca="1">YEARFRAC(EmployeeData[[#This Row],[Hire Date]],TODAY())</f>
        <v>22.725000000000001</v>
      </c>
      <c r="J138" t="str">
        <f>VLOOKUP(EmployeeData[[#This Row],[Perf_Score]],Lookup_Performance!$A$2:$C$6,3,TRUE)</f>
        <v>Exceeding</v>
      </c>
      <c r="K138" s="22">
        <f>VLOOKUP(EmployeeData[[#This Row],[Performance Band]],Lookup_Performance!$C$1:$D$6,2,FALSE)</f>
        <v>0.08</v>
      </c>
      <c r="L138" s="13">
        <f>EmployeeData[[#This Row],[Salary]]*EmployeeData[[#This Row],[Bonus Percent]]</f>
        <v>4031.92</v>
      </c>
    </row>
    <row r="139" spans="1:12" x14ac:dyDescent="0.3">
      <c r="A139" t="s">
        <v>156</v>
      </c>
      <c r="B139" s="3" t="s">
        <v>285</v>
      </c>
      <c r="C139" t="s">
        <v>12</v>
      </c>
      <c r="D139" s="10">
        <v>42299</v>
      </c>
      <c r="E139" s="12">
        <v>82713.428571428594</v>
      </c>
      <c r="F139">
        <v>62</v>
      </c>
      <c r="G139" t="s">
        <v>24</v>
      </c>
      <c r="H139" t="str">
        <f>VLOOKUP(EmployeeData[[#This Row],[Dept Code]],Lookup_Departments!$A$1:$B$7,2,FALSE)</f>
        <v>Finance</v>
      </c>
      <c r="I139" s="7">
        <f ca="1">YEARFRAC(EmployeeData[[#This Row],[Hire Date]],TODAY())</f>
        <v>10.71111111111111</v>
      </c>
      <c r="J139" t="str">
        <f>VLOOKUP(EmployeeData[[#This Row],[Perf_Score]],Lookup_Performance!$A$2:$C$6,3,TRUE)</f>
        <v>Developing</v>
      </c>
      <c r="K139" s="22">
        <f>VLOOKUP(EmployeeData[[#This Row],[Performance Band]],Lookup_Performance!$C$1:$D$6,2,FALSE)</f>
        <v>0.02</v>
      </c>
      <c r="L139" s="13">
        <f>EmployeeData[[#This Row],[Salary]]*EmployeeData[[#This Row],[Bonus Percent]]</f>
        <v>1654.2685714285719</v>
      </c>
    </row>
    <row r="140" spans="1:12" x14ac:dyDescent="0.3">
      <c r="A140" t="s">
        <v>157</v>
      </c>
      <c r="B140" s="2" t="s">
        <v>286</v>
      </c>
      <c r="C140" t="s">
        <v>17</v>
      </c>
      <c r="D140" s="10">
        <v>43257</v>
      </c>
      <c r="E140" s="12">
        <v>52720</v>
      </c>
      <c r="F140">
        <v>68</v>
      </c>
      <c r="G140" t="s">
        <v>24</v>
      </c>
      <c r="H140" t="str">
        <f>VLOOKUP(EmployeeData[[#This Row],[Dept Code]],Lookup_Departments!$A$1:$B$7,2,FALSE)</f>
        <v>Operations</v>
      </c>
      <c r="I140" s="7">
        <f ca="1">YEARFRAC(EmployeeData[[#This Row],[Hire Date]],TODAY())</f>
        <v>8.0888888888888886</v>
      </c>
      <c r="J140" t="str">
        <f>VLOOKUP(EmployeeData[[#This Row],[Perf_Score]],Lookup_Performance!$A$2:$C$6,3,TRUE)</f>
        <v>Developing</v>
      </c>
      <c r="K140" s="22">
        <f>VLOOKUP(EmployeeData[[#This Row],[Performance Band]],Lookup_Performance!$C$1:$D$6,2,FALSE)</f>
        <v>0.02</v>
      </c>
      <c r="L140" s="13">
        <f>EmployeeData[[#This Row],[Salary]]*EmployeeData[[#This Row],[Bonus Percent]]</f>
        <v>1054.4000000000001</v>
      </c>
    </row>
    <row r="141" spans="1:12" x14ac:dyDescent="0.3">
      <c r="A141" t="s">
        <v>158</v>
      </c>
      <c r="B141" s="3" t="s">
        <v>287</v>
      </c>
      <c r="C141" t="s">
        <v>17</v>
      </c>
      <c r="D141" s="10">
        <v>42932</v>
      </c>
      <c r="E141" s="12">
        <v>65065</v>
      </c>
      <c r="F141">
        <v>98</v>
      </c>
      <c r="G141" t="s">
        <v>24</v>
      </c>
      <c r="H141" t="str">
        <f>VLOOKUP(EmployeeData[[#This Row],[Dept Code]],Lookup_Departments!$A$1:$B$7,2,FALSE)</f>
        <v>Operations</v>
      </c>
      <c r="I141" s="7">
        <f ca="1">YEARFRAC(EmployeeData[[#This Row],[Hire Date]],TODAY())</f>
        <v>8.9777777777777779</v>
      </c>
      <c r="J141" t="str">
        <f>VLOOKUP(EmployeeData[[#This Row],[Perf_Score]],Lookup_Performance!$A$2:$C$6,3,TRUE)</f>
        <v>Outstanding</v>
      </c>
      <c r="K141" s="22">
        <f>VLOOKUP(EmployeeData[[#This Row],[Performance Band]],Lookup_Performance!$C$1:$D$6,2,FALSE)</f>
        <v>0.12</v>
      </c>
      <c r="L141" s="13">
        <f>EmployeeData[[#This Row],[Salary]]*EmployeeData[[#This Row],[Bonus Percent]]</f>
        <v>7807.7999999999993</v>
      </c>
    </row>
    <row r="142" spans="1:12" x14ac:dyDescent="0.3">
      <c r="A142" t="s">
        <v>159</v>
      </c>
      <c r="B142" s="2" t="s">
        <v>280</v>
      </c>
      <c r="C142" t="s">
        <v>23</v>
      </c>
      <c r="D142" s="10">
        <v>42175</v>
      </c>
      <c r="E142" s="12">
        <v>82713.428571428594</v>
      </c>
      <c r="F142">
        <v>94</v>
      </c>
      <c r="G142" t="s">
        <v>61</v>
      </c>
      <c r="H142" t="str">
        <f>VLOOKUP(EmployeeData[[#This Row],[Dept Code]],Lookup_Departments!$A$1:$B$7,2,FALSE)</f>
        <v>Sales</v>
      </c>
      <c r="I142" s="7">
        <f ca="1">YEARFRAC(EmployeeData[[#This Row],[Hire Date]],TODAY())</f>
        <v>11.05</v>
      </c>
      <c r="J142" t="str">
        <f>VLOOKUP(EmployeeData[[#This Row],[Perf_Score]],Lookup_Performance!$A$2:$C$6,3,TRUE)</f>
        <v>Exceeding</v>
      </c>
      <c r="K142" s="22">
        <f>VLOOKUP(EmployeeData[[#This Row],[Performance Band]],Lookup_Performance!$C$1:$D$6,2,FALSE)</f>
        <v>0.08</v>
      </c>
      <c r="L142" s="13">
        <f>EmployeeData[[#This Row],[Salary]]*EmployeeData[[#This Row],[Bonus Percent]]</f>
        <v>6617.0742857142877</v>
      </c>
    </row>
    <row r="143" spans="1:12" x14ac:dyDescent="0.3">
      <c r="A143" t="s">
        <v>160</v>
      </c>
      <c r="B143" s="3" t="s">
        <v>280</v>
      </c>
      <c r="C143" t="s">
        <v>17</v>
      </c>
      <c r="D143" s="10">
        <v>43609</v>
      </c>
      <c r="E143" s="12">
        <v>108119</v>
      </c>
      <c r="F143">
        <v>57</v>
      </c>
      <c r="G143" t="s">
        <v>61</v>
      </c>
      <c r="H143" t="str">
        <f>VLOOKUP(EmployeeData[[#This Row],[Dept Code]],Lookup_Departments!$A$1:$B$7,2,FALSE)</f>
        <v>Operations</v>
      </c>
      <c r="I143" s="7">
        <f ca="1">YEARFRAC(EmployeeData[[#This Row],[Hire Date]],TODAY())</f>
        <v>7.1222222222222218</v>
      </c>
      <c r="J143" t="str">
        <f>VLOOKUP(EmployeeData[[#This Row],[Perf_Score]],Lookup_Performance!$A$2:$C$6,3,TRUE)</f>
        <v>Developing</v>
      </c>
      <c r="K143" s="22">
        <f>VLOOKUP(EmployeeData[[#This Row],[Performance Band]],Lookup_Performance!$C$1:$D$6,2,FALSE)</f>
        <v>0.02</v>
      </c>
      <c r="L143" s="13">
        <f>EmployeeData[[#This Row],[Salary]]*EmployeeData[[#This Row],[Bonus Percent]]</f>
        <v>2162.38</v>
      </c>
    </row>
    <row r="144" spans="1:12" x14ac:dyDescent="0.3">
      <c r="A144" t="s">
        <v>161</v>
      </c>
      <c r="B144" s="2" t="s">
        <v>228</v>
      </c>
      <c r="C144" t="s">
        <v>7</v>
      </c>
      <c r="D144" s="10">
        <v>43887</v>
      </c>
      <c r="E144" s="12">
        <v>82713.428571428594</v>
      </c>
      <c r="F144">
        <v>96</v>
      </c>
      <c r="G144" t="s">
        <v>24</v>
      </c>
      <c r="H144" t="str">
        <f>VLOOKUP(EmployeeData[[#This Row],[Dept Code]],Lookup_Departments!$A$1:$B$7,2,FALSE)</f>
        <v>Information Technology</v>
      </c>
      <c r="I144" s="7">
        <f ca="1">YEARFRAC(EmployeeData[[#This Row],[Hire Date]],TODAY())</f>
        <v>6.3666666666666663</v>
      </c>
      <c r="J144" t="str">
        <f>VLOOKUP(EmployeeData[[#This Row],[Perf_Score]],Lookup_Performance!$A$2:$C$6,3,TRUE)</f>
        <v>Outstanding</v>
      </c>
      <c r="K144" s="22">
        <f>VLOOKUP(EmployeeData[[#This Row],[Performance Band]],Lookup_Performance!$C$1:$D$6,2,FALSE)</f>
        <v>0.12</v>
      </c>
      <c r="L144" s="13">
        <f>EmployeeData[[#This Row],[Salary]]*EmployeeData[[#This Row],[Bonus Percent]]</f>
        <v>9925.6114285714302</v>
      </c>
    </row>
    <row r="145" spans="1:12" x14ac:dyDescent="0.3">
      <c r="A145" t="s">
        <v>162</v>
      </c>
      <c r="B145" s="3" t="s">
        <v>231</v>
      </c>
      <c r="C145" t="s">
        <v>51</v>
      </c>
      <c r="D145" s="10">
        <v>45080</v>
      </c>
      <c r="E145" s="12">
        <v>106896</v>
      </c>
      <c r="F145">
        <v>52</v>
      </c>
      <c r="G145" t="s">
        <v>15</v>
      </c>
      <c r="H145" t="str">
        <f>VLOOKUP(EmployeeData[[#This Row],[Dept Code]],Lookup_Departments!$A$1:$B$7,2,FALSE)</f>
        <v>Human Resources</v>
      </c>
      <c r="I145" s="7">
        <f ca="1">YEARFRAC(EmployeeData[[#This Row],[Hire Date]],TODAY())</f>
        <v>3.0972222222222223</v>
      </c>
      <c r="J145" t="str">
        <f>VLOOKUP(EmployeeData[[#This Row],[Perf_Score]],Lookup_Performance!$A$2:$C$6,3,TRUE)</f>
        <v>Developing</v>
      </c>
      <c r="K145" s="22">
        <f>VLOOKUP(EmployeeData[[#This Row],[Performance Band]],Lookup_Performance!$C$1:$D$6,2,FALSE)</f>
        <v>0.02</v>
      </c>
      <c r="L145" s="13">
        <f>EmployeeData[[#This Row],[Salary]]*EmployeeData[[#This Row],[Bonus Percent]]</f>
        <v>2137.92</v>
      </c>
    </row>
    <row r="146" spans="1:12" x14ac:dyDescent="0.3">
      <c r="A146" t="s">
        <v>163</v>
      </c>
      <c r="B146" s="2" t="s">
        <v>31</v>
      </c>
      <c r="C146" t="s">
        <v>7</v>
      </c>
      <c r="D146" s="10">
        <v>43477</v>
      </c>
      <c r="E146" s="12">
        <v>112887</v>
      </c>
      <c r="F146">
        <v>59</v>
      </c>
      <c r="G146" t="s">
        <v>24</v>
      </c>
      <c r="H146" t="str">
        <f>VLOOKUP(EmployeeData[[#This Row],[Dept Code]],Lookup_Departments!$A$1:$B$7,2,FALSE)</f>
        <v>Information Technology</v>
      </c>
      <c r="I146" s="7">
        <f ca="1">YEARFRAC(EmployeeData[[#This Row],[Hire Date]],TODAY())</f>
        <v>7.4888888888888889</v>
      </c>
      <c r="J146" t="str">
        <f>VLOOKUP(EmployeeData[[#This Row],[Perf_Score]],Lookup_Performance!$A$2:$C$6,3,TRUE)</f>
        <v>Developing</v>
      </c>
      <c r="K146" s="22">
        <f>VLOOKUP(EmployeeData[[#This Row],[Performance Band]],Lookup_Performance!$C$1:$D$6,2,FALSE)</f>
        <v>0.02</v>
      </c>
      <c r="L146" s="13">
        <f>EmployeeData[[#This Row],[Salary]]*EmployeeData[[#This Row],[Bonus Percent]]</f>
        <v>2257.7400000000002</v>
      </c>
    </row>
    <row r="147" spans="1:12" x14ac:dyDescent="0.3">
      <c r="A147" t="s">
        <v>164</v>
      </c>
      <c r="B147" s="3" t="s">
        <v>288</v>
      </c>
      <c r="C147" t="s">
        <v>12</v>
      </c>
      <c r="D147" s="10">
        <v>45037</v>
      </c>
      <c r="E147" s="12">
        <v>85457</v>
      </c>
      <c r="F147">
        <v>79</v>
      </c>
      <c r="G147" t="s">
        <v>24</v>
      </c>
      <c r="H147" t="str">
        <f>VLOOKUP(EmployeeData[[#This Row],[Dept Code]],Lookup_Departments!$A$1:$B$7,2,FALSE)</f>
        <v>Finance</v>
      </c>
      <c r="I147" s="7">
        <f ca="1">YEARFRAC(EmployeeData[[#This Row],[Hire Date]],TODAY())</f>
        <v>3.213888888888889</v>
      </c>
      <c r="J147" t="str">
        <f>VLOOKUP(EmployeeData[[#This Row],[Perf_Score]],Lookup_Performance!$A$2:$C$6,3,TRUE)</f>
        <v>Achieving</v>
      </c>
      <c r="K147" s="22">
        <f>VLOOKUP(EmployeeData[[#This Row],[Performance Band]],Lookup_Performance!$C$1:$D$6,2,FALSE)</f>
        <v>0.05</v>
      </c>
      <c r="L147" s="13">
        <f>EmployeeData[[#This Row],[Salary]]*EmployeeData[[#This Row],[Bonus Percent]]</f>
        <v>4272.8500000000004</v>
      </c>
    </row>
    <row r="148" spans="1:12" x14ac:dyDescent="0.3">
      <c r="A148" t="s">
        <v>165</v>
      </c>
      <c r="B148" s="2" t="s">
        <v>289</v>
      </c>
      <c r="C148" t="s">
        <v>23</v>
      </c>
      <c r="D148" s="10">
        <v>42519</v>
      </c>
      <c r="E148" s="12">
        <v>62798</v>
      </c>
      <c r="F148">
        <v>30</v>
      </c>
      <c r="G148" t="s">
        <v>24</v>
      </c>
      <c r="H148" t="str">
        <f>VLOOKUP(EmployeeData[[#This Row],[Dept Code]],Lookup_Departments!$A$1:$B$7,2,FALSE)</f>
        <v>Sales</v>
      </c>
      <c r="I148" s="7">
        <f ca="1">YEARFRAC(EmployeeData[[#This Row],[Hire Date]],TODAY())</f>
        <v>10.108333333333333</v>
      </c>
      <c r="J148" t="str">
        <f>VLOOKUP(EmployeeData[[#This Row],[Perf_Score]],Lookup_Performance!$A$2:$C$6,3,TRUE)</f>
        <v>Needs Improvement</v>
      </c>
      <c r="K148" s="22">
        <f>VLOOKUP(EmployeeData[[#This Row],[Performance Band]],Lookup_Performance!$C$1:$D$6,2,FALSE)</f>
        <v>0</v>
      </c>
      <c r="L148" s="13">
        <f>EmployeeData[[#This Row],[Salary]]*EmployeeData[[#This Row],[Bonus Percent]]</f>
        <v>0</v>
      </c>
    </row>
    <row r="149" spans="1:12" x14ac:dyDescent="0.3">
      <c r="A149" t="s">
        <v>166</v>
      </c>
      <c r="B149" s="3" t="s">
        <v>290</v>
      </c>
      <c r="C149" t="s">
        <v>17</v>
      </c>
      <c r="D149" s="10">
        <v>44711</v>
      </c>
      <c r="E149" s="12">
        <v>47794</v>
      </c>
      <c r="F149">
        <v>73</v>
      </c>
      <c r="G149" t="s">
        <v>15</v>
      </c>
      <c r="H149" t="str">
        <f>VLOOKUP(EmployeeData[[#This Row],[Dept Code]],Lookup_Departments!$A$1:$B$7,2,FALSE)</f>
        <v>Operations</v>
      </c>
      <c r="I149" s="7">
        <f ca="1">YEARFRAC(EmployeeData[[#This Row],[Hire Date]],TODAY())</f>
        <v>4.1055555555555552</v>
      </c>
      <c r="J149" t="str">
        <f>VLOOKUP(EmployeeData[[#This Row],[Perf_Score]],Lookup_Performance!$A$2:$C$6,3,TRUE)</f>
        <v>Achieving</v>
      </c>
      <c r="K149" s="22">
        <f>VLOOKUP(EmployeeData[[#This Row],[Performance Band]],Lookup_Performance!$C$1:$D$6,2,FALSE)</f>
        <v>0.05</v>
      </c>
      <c r="L149" s="13">
        <f>EmployeeData[[#This Row],[Salary]]*EmployeeData[[#This Row],[Bonus Percent]]</f>
        <v>2389.7000000000003</v>
      </c>
    </row>
    <row r="150" spans="1:12" x14ac:dyDescent="0.3">
      <c r="A150" t="s">
        <v>167</v>
      </c>
      <c r="B150" s="2" t="s">
        <v>272</v>
      </c>
      <c r="C150" t="s">
        <v>9</v>
      </c>
      <c r="D150" s="10">
        <v>37941</v>
      </c>
      <c r="E150" s="12">
        <v>93094</v>
      </c>
      <c r="F150">
        <v>74</v>
      </c>
      <c r="G150" t="s">
        <v>24</v>
      </c>
      <c r="H150" t="str">
        <f>VLOOKUP(EmployeeData[[#This Row],[Dept Code]],Lookup_Departments!$A$1:$B$7,2,FALSE)</f>
        <v>Marketing</v>
      </c>
      <c r="I150" s="7">
        <f ca="1">YEARFRAC(EmployeeData[[#This Row],[Hire Date]],TODAY())</f>
        <v>22.644444444444446</v>
      </c>
      <c r="J150" t="str">
        <f>VLOOKUP(EmployeeData[[#This Row],[Perf_Score]],Lookup_Performance!$A$2:$C$6,3,TRUE)</f>
        <v>Achieving</v>
      </c>
      <c r="K150" s="22">
        <f>VLOOKUP(EmployeeData[[#This Row],[Performance Band]],Lookup_Performance!$C$1:$D$6,2,FALSE)</f>
        <v>0.05</v>
      </c>
      <c r="L150" s="13">
        <f>EmployeeData[[#This Row],[Salary]]*EmployeeData[[#This Row],[Bonus Percent]]</f>
        <v>4654.7</v>
      </c>
    </row>
    <row r="151" spans="1:12" x14ac:dyDescent="0.3">
      <c r="A151" t="s">
        <v>168</v>
      </c>
      <c r="B151" s="5" t="s">
        <v>269</v>
      </c>
      <c r="C151" t="s">
        <v>7</v>
      </c>
      <c r="D151" s="10">
        <v>44848</v>
      </c>
      <c r="E151" s="12">
        <v>118634</v>
      </c>
      <c r="F151">
        <v>91</v>
      </c>
      <c r="G151" t="s">
        <v>24</v>
      </c>
      <c r="H151" t="str">
        <f>VLOOKUP(EmployeeData[[#This Row],[Dept Code]],Lookup_Departments!$A$1:$B$7,2,FALSE)</f>
        <v>Information Technology</v>
      </c>
      <c r="I151" s="7">
        <f ca="1">YEARFRAC(EmployeeData[[#This Row],[Hire Date]],TODAY())</f>
        <v>3.7333333333333334</v>
      </c>
      <c r="J151" t="str">
        <f>VLOOKUP(EmployeeData[[#This Row],[Perf_Score]],Lookup_Performance!$A$2:$C$6,3,TRUE)</f>
        <v>Exceeding</v>
      </c>
      <c r="K151" s="22">
        <f>VLOOKUP(EmployeeData[[#This Row],[Performance Band]],Lookup_Performance!$C$1:$D$6,2,FALSE)</f>
        <v>0.08</v>
      </c>
      <c r="L151" s="13">
        <f>EmployeeData[[#This Row],[Salary]]*EmployeeData[[#This Row],[Bonus Percent]]</f>
        <v>9490.7199999999993</v>
      </c>
    </row>
  </sheetData>
  <phoneticPr fontId="4" type="noConversion"/>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sheetData>
    <row r="1" spans="1:2" x14ac:dyDescent="0.3">
      <c r="A1" s="1" t="s">
        <v>169</v>
      </c>
      <c r="B1" s="1" t="s">
        <v>170</v>
      </c>
    </row>
    <row r="2" spans="1:2" x14ac:dyDescent="0.3">
      <c r="A2" t="s">
        <v>51</v>
      </c>
      <c r="B2" t="s">
        <v>171</v>
      </c>
    </row>
    <row r="3" spans="1:2" x14ac:dyDescent="0.3">
      <c r="A3" t="s">
        <v>7</v>
      </c>
      <c r="B3" t="s">
        <v>172</v>
      </c>
    </row>
    <row r="4" spans="1:2" x14ac:dyDescent="0.3">
      <c r="A4" t="s">
        <v>12</v>
      </c>
      <c r="B4" t="s">
        <v>173</v>
      </c>
    </row>
    <row r="5" spans="1:2" x14ac:dyDescent="0.3">
      <c r="A5" t="s">
        <v>9</v>
      </c>
      <c r="B5" t="s">
        <v>174</v>
      </c>
    </row>
    <row r="6" spans="1:2" x14ac:dyDescent="0.3">
      <c r="A6" t="s">
        <v>23</v>
      </c>
      <c r="B6" t="s">
        <v>175</v>
      </c>
    </row>
    <row r="7" spans="1:2" x14ac:dyDescent="0.3">
      <c r="A7" t="s">
        <v>17</v>
      </c>
      <c r="B7" t="s">
        <v>176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4.4" x14ac:dyDescent="0.3"/>
  <cols>
    <col min="1" max="1" width="10" bestFit="1" customWidth="1"/>
    <col min="2" max="2" width="10.33203125" bestFit="1" customWidth="1"/>
    <col min="3" max="3" width="17.77734375" bestFit="1" customWidth="1"/>
    <col min="4" max="4" width="16.77734375" bestFit="1" customWidth="1"/>
  </cols>
  <sheetData>
    <row r="1" spans="1:4" x14ac:dyDescent="0.3">
      <c r="A1" s="1" t="s">
        <v>177</v>
      </c>
      <c r="B1" s="1" t="s">
        <v>178</v>
      </c>
      <c r="C1" s="1" t="s">
        <v>179</v>
      </c>
      <c r="D1" s="1" t="s">
        <v>180</v>
      </c>
    </row>
    <row r="2" spans="1:4" x14ac:dyDescent="0.3">
      <c r="A2">
        <v>0</v>
      </c>
      <c r="B2">
        <v>49</v>
      </c>
      <c r="C2" t="s">
        <v>181</v>
      </c>
      <c r="D2">
        <v>0</v>
      </c>
    </row>
    <row r="3" spans="1:4" x14ac:dyDescent="0.3">
      <c r="A3">
        <v>50</v>
      </c>
      <c r="B3">
        <v>69</v>
      </c>
      <c r="C3" t="s">
        <v>182</v>
      </c>
      <c r="D3">
        <v>0.02</v>
      </c>
    </row>
    <row r="4" spans="1:4" x14ac:dyDescent="0.3">
      <c r="A4">
        <v>70</v>
      </c>
      <c r="B4">
        <v>84</v>
      </c>
      <c r="C4" t="s">
        <v>183</v>
      </c>
      <c r="D4">
        <v>0.05</v>
      </c>
    </row>
    <row r="5" spans="1:4" x14ac:dyDescent="0.3">
      <c r="A5">
        <v>85</v>
      </c>
      <c r="B5">
        <v>94</v>
      </c>
      <c r="C5" t="s">
        <v>184</v>
      </c>
      <c r="D5">
        <v>0.08</v>
      </c>
    </row>
    <row r="6" spans="1:4" x14ac:dyDescent="0.3">
      <c r="A6">
        <v>95</v>
      </c>
      <c r="B6">
        <v>100</v>
      </c>
      <c r="C6" t="s">
        <v>185</v>
      </c>
      <c r="D6">
        <v>0.12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F40F-442C-439E-966B-6F7E1DDF52DD}">
  <dimension ref="A3:T18"/>
  <sheetViews>
    <sheetView workbookViewId="0"/>
  </sheetViews>
  <sheetFormatPr defaultRowHeight="14.4" x14ac:dyDescent="0.3"/>
  <cols>
    <col min="1" max="1" width="18.88671875" bestFit="1" customWidth="1"/>
    <col min="2" max="2" width="10.109375" bestFit="1" customWidth="1"/>
    <col min="4" max="4" width="13.5546875" bestFit="1" customWidth="1"/>
    <col min="5" max="5" width="9.77734375" bestFit="1" customWidth="1"/>
    <col min="7" max="7" width="12.5546875" bestFit="1" customWidth="1"/>
    <col min="8" max="8" width="14.88671875" bestFit="1" customWidth="1"/>
    <col min="9" max="11" width="10.77734375" bestFit="1" customWidth="1"/>
    <col min="12" max="12" width="19" bestFit="1" customWidth="1"/>
    <col min="13" max="13" width="10.109375" bestFit="1" customWidth="1"/>
    <col min="15" max="15" width="18.88671875" bestFit="1" customWidth="1"/>
    <col min="16" max="16" width="15.6640625" bestFit="1" customWidth="1"/>
    <col min="19" max="19" width="19" bestFit="1" customWidth="1"/>
    <col min="20" max="20" width="17.5546875" bestFit="1" customWidth="1"/>
  </cols>
  <sheetData>
    <row r="3" spans="1:20" x14ac:dyDescent="0.3">
      <c r="A3" t="s">
        <v>308</v>
      </c>
      <c r="D3" t="s">
        <v>309</v>
      </c>
      <c r="G3" s="17" t="s">
        <v>310</v>
      </c>
      <c r="H3" t="s">
        <v>311</v>
      </c>
    </row>
    <row r="4" spans="1:20" x14ac:dyDescent="0.3">
      <c r="A4" s="23">
        <v>150</v>
      </c>
      <c r="D4" s="24">
        <v>83485.197142857141</v>
      </c>
      <c r="G4" s="18" t="s">
        <v>24</v>
      </c>
      <c r="H4" s="23">
        <v>116</v>
      </c>
    </row>
    <row r="5" spans="1:20" x14ac:dyDescent="0.3">
      <c r="G5" s="18" t="s">
        <v>297</v>
      </c>
      <c r="H5" s="23">
        <v>116</v>
      </c>
    </row>
    <row r="12" spans="1:20" x14ac:dyDescent="0.3">
      <c r="A12" s="17" t="s">
        <v>292</v>
      </c>
      <c r="B12" t="s">
        <v>312</v>
      </c>
      <c r="D12" s="17" t="s">
        <v>292</v>
      </c>
      <c r="E12" t="s">
        <v>313</v>
      </c>
      <c r="G12" s="17" t="s">
        <v>312</v>
      </c>
      <c r="H12" s="17" t="s">
        <v>186</v>
      </c>
      <c r="L12" s="17" t="s">
        <v>293</v>
      </c>
      <c r="M12" t="s">
        <v>312</v>
      </c>
      <c r="O12" s="17" t="s">
        <v>292</v>
      </c>
      <c r="P12" t="s">
        <v>314</v>
      </c>
      <c r="S12" s="17" t="s">
        <v>293</v>
      </c>
      <c r="T12" t="s">
        <v>315</v>
      </c>
    </row>
    <row r="13" spans="1:20" x14ac:dyDescent="0.3">
      <c r="A13" s="27" t="s">
        <v>171</v>
      </c>
      <c r="B13" s="23">
        <v>18</v>
      </c>
      <c r="D13" s="27" t="s">
        <v>171</v>
      </c>
      <c r="E13" s="24">
        <v>85486.801587301597</v>
      </c>
      <c r="G13" s="17" t="s">
        <v>292</v>
      </c>
      <c r="H13" s="27" t="s">
        <v>24</v>
      </c>
      <c r="I13" s="27" t="s">
        <v>297</v>
      </c>
      <c r="L13" s="27" t="s">
        <v>182</v>
      </c>
      <c r="M13" s="23">
        <v>49</v>
      </c>
      <c r="O13" s="27" t="s">
        <v>171</v>
      </c>
      <c r="P13" s="25">
        <v>7.3757716049382713</v>
      </c>
      <c r="S13" s="26" t="s">
        <v>183</v>
      </c>
      <c r="T13" s="24">
        <v>164994.30714285717</v>
      </c>
    </row>
    <row r="14" spans="1:20" x14ac:dyDescent="0.3">
      <c r="A14" s="27" t="s">
        <v>297</v>
      </c>
      <c r="B14" s="23">
        <v>18</v>
      </c>
      <c r="D14" s="27" t="s">
        <v>297</v>
      </c>
      <c r="E14" s="24">
        <v>85486.801587301597</v>
      </c>
      <c r="G14" s="27" t="s">
        <v>171</v>
      </c>
      <c r="H14" s="23">
        <v>15</v>
      </c>
      <c r="I14" s="23">
        <v>15</v>
      </c>
      <c r="L14" s="27" t="s">
        <v>297</v>
      </c>
      <c r="M14" s="23">
        <v>49</v>
      </c>
      <c r="O14" s="27" t="s">
        <v>297</v>
      </c>
      <c r="P14" s="25">
        <v>7.3757716049382713</v>
      </c>
      <c r="S14" s="26" t="s">
        <v>182</v>
      </c>
      <c r="T14" s="24">
        <v>84450.788571428595</v>
      </c>
    </row>
    <row r="15" spans="1:20" x14ac:dyDescent="0.3">
      <c r="G15" s="27" t="s">
        <v>297</v>
      </c>
      <c r="H15" s="23">
        <v>15</v>
      </c>
      <c r="I15" s="23">
        <v>15</v>
      </c>
      <c r="S15" s="26" t="s">
        <v>184</v>
      </c>
      <c r="T15" s="24">
        <v>144546.9485714286</v>
      </c>
    </row>
    <row r="16" spans="1:20" x14ac:dyDescent="0.3">
      <c r="S16" s="26" t="s">
        <v>181</v>
      </c>
      <c r="T16" s="24">
        <v>0</v>
      </c>
    </row>
    <row r="17" spans="19:20" x14ac:dyDescent="0.3">
      <c r="S17" s="26" t="s">
        <v>185</v>
      </c>
      <c r="T17" s="24">
        <v>92304.651428571437</v>
      </c>
    </row>
    <row r="18" spans="19:20" x14ac:dyDescent="0.3">
      <c r="S18" s="26" t="s">
        <v>297</v>
      </c>
      <c r="T18" s="24">
        <v>486296.69571428583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Interactive Dashboard</vt:lpstr>
      <vt:lpstr>Raw_Employee_Data</vt:lpstr>
      <vt:lpstr>Lookup_Departments</vt:lpstr>
      <vt:lpstr>Lookup_Performance</vt:lpstr>
      <vt:lpstr>Dashboard_Pivots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JIBULU, Mulikat (YORK AND SCARBOROUGH TEACHING HOSPITA</cp:lastModifiedBy>
  <dcterms:created xsi:type="dcterms:W3CDTF">2026-06-04T20:20:01Z</dcterms:created>
  <dcterms:modified xsi:type="dcterms:W3CDTF">2026-07-08T08:13:06Z</dcterms:modified>
</cp:coreProperties>
</file>